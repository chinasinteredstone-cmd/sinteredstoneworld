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询盘CRM" state="visible" r:id="rId4"/>
    <sheet sheetId="2" name="国家分析" state="visible" r:id="rId5"/>
    <sheet sheetId="3" name="客户类型分析" state="visible" r:id="rId6"/>
    <sheet sheetId="4" name="产品线分析" state="visible" r:id="rId7"/>
    <sheet sheetId="5" name="转化漏斗分析" state="visible" r:id="rId8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I2" authorId="0">
      <text>
        <r>
          <t>询盘/报价中/样品中/谈判中/已成交/已流失</t>
        </r>
      </text>
    </comment>
  </commentList>
</comments>
</file>

<file path=xl/sharedStrings.xml><?xml version="1.0" encoding="utf-8"?>
<sst xmlns="http://schemas.openxmlformats.org/spreadsheetml/2006/main" count="798" uniqueCount="131">
  <si>
    <t>═══ 询盘成交漏斗跟踪（自动算进度+逾期提醒）═══</t>
  </si>
  <si>
    <t>RFQ编号</t>
  </si>
  <si>
    <t>询盘日期</t>
  </si>
  <si>
    <t>客户公司</t>
  </si>
  <si>
    <t>国家</t>
  </si>
  <si>
    <t>类型</t>
  </si>
  <si>
    <t>产品线</t>
  </si>
  <si>
    <t>需求摘要</t>
  </si>
  <si>
    <t>报价(USD)</t>
  </si>
  <si>
    <t>当前阶段</t>
  </si>
  <si>
    <t>阶段进度(自动)</t>
  </si>
  <si>
    <t>上次跟进日期</t>
  </si>
  <si>
    <t>下次跟进日期</t>
  </si>
  <si>
    <t>逾期提醒(自动)</t>
  </si>
  <si>
    <t>成交金额(USD)</t>
  </si>
  <si>
    <t>跟进记录</t>
  </si>
  <si>
    <t>CRM-001</t>
  </si>
  <si>
    <t>2026-07-01</t>
  </si>
  <si>
    <t>ABC Trading</t>
  </si>
  <si>
    <t>United States</t>
  </si>
  <si>
    <t>Importer</t>
  </si>
  <si>
    <t>Sintered Stone</t>
  </si>
  <si>
    <t>Pandora 9mm 500m²</t>
  </si>
  <si>
    <t>报价中</t>
  </si>
  <si>
    <t>2026-07-02</t>
  </si>
  <si>
    <t>2026-07-05</t>
  </si>
  <si>
    <t/>
  </si>
  <si>
    <t>已报FOB价，等客户反馈</t>
  </si>
  <si>
    <t>CRM-002</t>
  </si>
  <si>
    <t>HD Hotel</t>
  </si>
  <si>
    <t>UAE</t>
  </si>
  <si>
    <t>Contractor</t>
  </si>
  <si>
    <t>Flexible Stone</t>
  </si>
  <si>
    <t>外墙翻新 2000m²</t>
  </si>
  <si>
    <t>样品中</t>
  </si>
  <si>
    <t>2026-07-03</t>
  </si>
  <si>
    <t>2026-07-06</t>
  </si>
  <si>
    <t>样品已寄DHL，等确认效果</t>
  </si>
  <si>
    <t>CRM-003</t>
  </si>
  <si>
    <t>QWE Dist</t>
  </si>
  <si>
    <t>Germany</t>
  </si>
  <si>
    <t>Distributor</t>
  </si>
  <si>
    <t>Porcelain Slab</t>
  </si>
  <si>
    <t>30款畅销花色 1柜</t>
  </si>
  <si>
    <t>已成交</t>
  </si>
  <si>
    <t>2026-07-04</t>
  </si>
  <si>
    <t>已付30%定金，生产中</t>
  </si>
  <si>
    <t>═══ Top 10 高意向国家（自动统计询盘CRM表）═══</t>
  </si>
  <si>
    <t>排名</t>
  </si>
  <si>
    <t>询盘数</t>
  </si>
  <si>
    <t>成交数</t>
  </si>
  <si>
    <t>Australia</t>
  </si>
  <si>
    <t>Canada</t>
  </si>
  <si>
    <t>United Kingdom</t>
  </si>
  <si>
    <t>Saudi Arabia</t>
  </si>
  <si>
    <t>France</t>
  </si>
  <si>
    <t>Italy</t>
  </si>
  <si>
    <t>Spain</t>
  </si>
  <si>
    <t>Mexico</t>
  </si>
  <si>
    <t>Other</t>
  </si>
  <si>
    <t>═══ 使用说明 ═══</t>
  </si>
  <si>
    <t>1. 先在"询盘CRM"表填询盘数据</t>
  </si>
  <si>
    <t>2. 本表自动统计各国询盘数/成交数/金额</t>
  </si>
  <si>
    <t>3. 排序看Top，重点市场加大投入</t>
  </si>
  <si>
    <t>重点市场判断标准: 询盘&gt;10 且 成交转化率&gt;20%</t>
  </si>
  <si>
    <t>═══ Top 客户类型分析（Importer / Contractor / Distributor / Designer）═══</t>
  </si>
  <si>
    <t>客户类型</t>
  </si>
  <si>
    <t>占比</t>
  </si>
  <si>
    <t>转化率</t>
  </si>
  <si>
    <t>Designer</t>
  </si>
  <si>
    <t>Architect</t>
  </si>
  <si>
    <t>💡 分析建议:</t>
  </si>
  <si>
    <t>- Importer 占比高 → 重点优化阶梯价/整柜价</t>
  </si>
  <si>
    <t>- Contractor 占比高 → 重点发项目案例/施工指南</t>
  </si>
  <si>
    <t>- Distributor 占比高 → 推区域独家代理政策</t>
  </si>
  <si>
    <t>- Designer 占比高 → 多发图册/案例/AI效果图</t>
  </si>
  <si>
    <t>═══ 4产品线询盘占比与增长（Flexible/Soft/Sintered/Porcelain）═══</t>
  </si>
  <si>
    <t>成交金额</t>
  </si>
  <si>
    <t>说明</t>
  </si>
  <si>
    <t>差异化新品，翻新/外墙强卖点</t>
  </si>
  <si>
    <t>Soft Ceramic</t>
  </si>
  <si>
    <t>设计师/别墅客户，环保卖点</t>
  </si>
  <si>
    <t>主推产品，奢石背景墙</t>
  </si>
  <si>
    <t>走量产品，经销批发</t>
  </si>
  <si>
    <t>═══ 月度趋势（手动填，看增长）═══</t>
  </si>
  <si>
    <t>月份</t>
  </si>
  <si>
    <t>合计</t>
  </si>
  <si>
    <t>2026-01</t>
  </si>
  <si>
    <t>2026-02</t>
  </si>
  <si>
    <t>2026-03</t>
  </si>
  <si>
    <t>2026-04</t>
  </si>
  <si>
    <t>2026-05</t>
  </si>
  <si>
    <t>2026-06</t>
  </si>
  <si>
    <t>2026-07</t>
  </si>
  <si>
    <t>💡 增长判断:</t>
  </si>
  <si>
    <t>- Flexible Stone 环比增长&gt;20% → 加大内容投入（小红书/独立站专题）</t>
  </si>
  <si>
    <t>- Soft Ceramic 连续3月增长 → 做专题页+样品包促销</t>
  </si>
  <si>
    <t>- Sintered Stone 是基本盘，保持稳定即可</t>
  </si>
  <si>
    <t>- Porcelain Slab 增长乏力 → 优化经销商政策或降价</t>
  </si>
  <si>
    <t>═══ 询盘→成交 转化漏斗（找出最大流失环节）═══</t>
  </si>
  <si>
    <t>漏斗阶段</t>
  </si>
  <si>
    <t>数量(自动)</t>
  </si>
  <si>
    <t>占总询盘</t>
  </si>
  <si>
    <t>阶段转化率</t>
  </si>
  <si>
    <t>诊断建议</t>
  </si>
  <si>
    <t>1.询盘总量</t>
  </si>
  <si>
    <t>行业平均月询盘&gt;50算健康</t>
  </si>
  <si>
    <t>2.已报价</t>
  </si>
  <si>
    <t>转化率&lt;60%→欢迎语/FAQ要优化</t>
  </si>
  <si>
    <t>3.已寄样品</t>
  </si>
  <si>
    <t>样品转化率&lt;30%→样品质量/选品要调</t>
  </si>
  <si>
    <t>4.谈判中</t>
  </si>
  <si>
    <t>谈判转化率&lt;50%→价格/付款条件需调整</t>
  </si>
  <si>
    <t>5.已成交</t>
  </si>
  <si>
    <t>行业平均3-8%为健康</t>
  </si>
  <si>
    <t>═══ 转化率问题点诊断 ═══</t>
  </si>
  <si>
    <t>❶ 询盘→报价 转化率低（&lt;60%）</t>
  </si>
  <si>
    <t xml:space="preserve">   问题: 欢迎语没吸引力 / FAQ没答到点 / 回复太慢</t>
  </si>
  <si>
    <t xml:space="preserve">   对策: 优化欢迎语、加自动FAQ、24h必回（见01-询盘转化三件套）</t>
  </si>
  <si>
    <t>❷ 报价→样品 转化率低（&lt;30%）</t>
  </si>
  <si>
    <t xml:space="preserve">   问题: 报价后没主动推样品 / 客户对价格犹豫</t>
  </si>
  <si>
    <t xml:space="preserve">   对策: 报价必带"free sample"话术，主动寄</t>
  </si>
  <si>
    <t>❸ 样品→谈判 转化率低（&lt;50%）</t>
  </si>
  <si>
    <t xml:space="preserve">   问题: 样品寄出后没跟 / 客户拿到样品没紧迫感</t>
  </si>
  <si>
    <t xml:space="preserve">   对策: 样品寄出后3天必跟，催效果反馈+限量报价</t>
  </si>
  <si>
    <t>❹ 谈判→成交 转化率低（&lt;50%）</t>
  </si>
  <si>
    <t xml:space="preserve">   问题: 价格谈不拢 / 付款条件 / 信任不足</t>
  </si>
  <si>
    <t xml:space="preserve">   对策: 主推信保交易（TrustBadge）/ 阶梯价 / 限时优惠</t>
  </si>
  <si>
    <t>❺ 整体转化率低（&lt;3%）</t>
  </si>
  <si>
    <t xml:space="preserve">   问题: 询盘质量差（C类多）/ 产品力不足</t>
  </si>
  <si>
    <t xml:space="preserve">   对策: 用智能提问筛A类，主推Flexible Stone差异化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</si>
</sst>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color theme="1"/>
      <family val="2"/>
      <scheme val="minor"/>
      <sz val="11"/>
      <name val="Calibri"/>
    </font>
    <font>
      <b/>
      <color rgb="FFD4B876"/>
      <sz val="12"/>
    </font>
    <font>
      <b/>
      <color rgb="FFD4B876"/>
      <sz val="10"/>
    </font>
    <font>
      <sz val="10"/>
    </font>
    <font>
      <b/>
      <color rgb="FFD4B876"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4" fillId="0" borderId="0" xfId="0" applyFont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1" customWidth="1"/>
    <col min="3" max="3" width="20" customWidth="1"/>
    <col min="4" max="4" width="13" customWidth="1"/>
    <col min="5" max="5" width="12" customWidth="1"/>
    <col min="6" max="6" width="14" customWidth="1"/>
    <col min="7" max="7" width="28" customWidth="1"/>
    <col min="8" max="8" width="11" customWidth="1"/>
    <col min="9" max="9" width="14" customWidth="1"/>
    <col min="10" max="12" width="12" customWidth="1"/>
    <col min="13" max="13" width="18" customWidth="1"/>
    <col min="14" max="14" width="13" customWidth="1"/>
    <col min="15" max="15" width="3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8" customHeight="1" spans="1:1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22" customHeight="1" spans="1:15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>
        <v>25000</v>
      </c>
      <c r="I3" s="3" t="s">
        <v>23</v>
      </c>
      <c r="J3" s="3">
        <f>=IF($I3="","",IFS($I3="询盘",10%,$I3="报价中",30%,$I3="样品中",50%,$I3="谈判中",75%,$I3="已成交",100%,$I3="已流失",0%))</f>
      </c>
      <c r="K3" s="3" t="s">
        <v>24</v>
      </c>
      <c r="L3" s="3" t="s">
        <v>25</v>
      </c>
      <c r="M3" s="3">
        <f>=IF($A3="","",IF($L3="","",IF($L3&lt;TODAY(),"🔴 已逾期"&amp;(TODAY()-$L3)&amp;"天",IF($L3=TODAY(),"🟡 今天要跟","🟢 还剩"&amp;($L3-TODAY())&amp;"天"))))</f>
      </c>
      <c r="N3" s="3" t="s">
        <v>26</v>
      </c>
      <c r="O3" s="3" t="s">
        <v>27</v>
      </c>
    </row>
    <row r="4" ht="22" customHeight="1" spans="1:15" x14ac:dyDescent="0.25">
      <c r="A4" s="3" t="s">
        <v>28</v>
      </c>
      <c r="B4" s="3" t="s">
        <v>24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3">
        <v>80000</v>
      </c>
      <c r="I4" s="3" t="s">
        <v>34</v>
      </c>
      <c r="J4" s="3">
        <f>=IF($I4="","",IFS($I4="询盘",10%,$I4="报价中",30%,$I4="样品中",50%,$I4="谈判中",75%,$I4="已成交",100%,$I4="已流失",0%))</f>
      </c>
      <c r="K4" s="3" t="s">
        <v>35</v>
      </c>
      <c r="L4" s="3" t="s">
        <v>36</v>
      </c>
      <c r="M4" s="3">
        <f>=IF($A4="","",IF($L4="","",IF($L4&lt;TODAY(),"🔴 已逾期"&amp;(TODAY()-$L4)&amp;"天",IF($L4=TODAY(),"🟡 今天要跟","🟢 还剩"&amp;($L4-TODAY())&amp;"天"))))</f>
      </c>
      <c r="N4" s="3" t="s">
        <v>26</v>
      </c>
      <c r="O4" s="3" t="s">
        <v>37</v>
      </c>
    </row>
    <row r="5" ht="22" customHeight="1" spans="1:15" x14ac:dyDescent="0.25">
      <c r="A5" s="3" t="s">
        <v>38</v>
      </c>
      <c r="B5" s="3" t="s">
        <v>35</v>
      </c>
      <c r="C5" s="3" t="s">
        <v>39</v>
      </c>
      <c r="D5" s="3" t="s">
        <v>40</v>
      </c>
      <c r="E5" s="3" t="s">
        <v>41</v>
      </c>
      <c r="F5" s="3" t="s">
        <v>42</v>
      </c>
      <c r="G5" s="3" t="s">
        <v>43</v>
      </c>
      <c r="H5" s="3">
        <v>35000</v>
      </c>
      <c r="I5" s="3" t="s">
        <v>44</v>
      </c>
      <c r="J5" s="3">
        <f>=IF($I5="","",IFS($I5="询盘",10%,$I5="报价中",30%,$I5="样品中",50%,$I5="谈判中",75%,$I5="已成交",100%,$I5="已流失",0%))</f>
      </c>
      <c r="K5" s="3" t="s">
        <v>45</v>
      </c>
      <c r="L5" s="3" t="s">
        <v>26</v>
      </c>
      <c r="M5" s="3">
        <f>=IF($A5="","",IF($L5="","",IF($L5&lt;TODAY(),"🔴 已逾期"&amp;(TODAY()-$L5)&amp;"天",IF($L5=TODAY(),"🟡 今天要跟","🟢 还剩"&amp;($L5-TODAY())&amp;"天"))))</f>
      </c>
      <c r="N5" s="3">
        <v>35000</v>
      </c>
      <c r="O5" s="3" t="s">
        <v>46</v>
      </c>
    </row>
    <row r="6" ht="22" customHeight="1" spans="1:15" x14ac:dyDescent="0.25">
      <c r="A6" s="3" t="s">
        <v>26</v>
      </c>
      <c r="B6" s="3" t="s">
        <v>26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>
        <f>=IF($I6="","",IFS($I6="询盘",10%,$I6="报价中",30%,$I6="样品中",50%,$I6="谈判中",75%,$I6="已成交",100%,$I6="已流失",0%))</f>
      </c>
      <c r="K6" s="3" t="s">
        <v>26</v>
      </c>
      <c r="L6" s="3" t="s">
        <v>26</v>
      </c>
      <c r="M6" s="3">
        <f>=IF($A6="","",IF($L6="","",IF($L6&lt;TODAY(),"🔴 已逾期"&amp;(TODAY()-$L6)&amp;"天",IF($L6=TODAY(),"🟡 今天要跟","🟢 还剩"&amp;($L6-TODAY())&amp;"天"))))</f>
      </c>
      <c r="N6" s="3" t="s">
        <v>26</v>
      </c>
      <c r="O6" s="3" t="s">
        <v>26</v>
      </c>
    </row>
    <row r="7" ht="22" customHeight="1" spans="1:15" x14ac:dyDescent="0.25">
      <c r="A7" s="3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>
        <f>=IF($I7="","",IFS($I7="询盘",10%,$I7="报价中",30%,$I7="样品中",50%,$I7="谈判中",75%,$I7="已成交",100%,$I7="已流失",0%))</f>
      </c>
      <c r="K7" s="3" t="s">
        <v>26</v>
      </c>
      <c r="L7" s="3" t="s">
        <v>26</v>
      </c>
      <c r="M7" s="3">
        <f>=IF($A7="","",IF($L7="","",IF($L7&lt;TODAY(),"🔴 已逾期"&amp;(TODAY()-$L7)&amp;"天",IF($L7=TODAY(),"🟡 今天要跟","🟢 还剩"&amp;($L7-TODAY())&amp;"天"))))</f>
      </c>
      <c r="N7" s="3" t="s">
        <v>26</v>
      </c>
      <c r="O7" s="3" t="s">
        <v>26</v>
      </c>
    </row>
    <row r="8" ht="22" customHeight="1" spans="1:15" x14ac:dyDescent="0.25">
      <c r="A8" s="3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>
        <f>=IF($I8="","",IFS($I8="询盘",10%,$I8="报价中",30%,$I8="样品中",50%,$I8="谈判中",75%,$I8="已成交",100%,$I8="已流失",0%))</f>
      </c>
      <c r="K8" s="3" t="s">
        <v>26</v>
      </c>
      <c r="L8" s="3" t="s">
        <v>26</v>
      </c>
      <c r="M8" s="3">
        <f>=IF($A8="","",IF($L8="","",IF($L8&lt;TODAY(),"🔴 已逾期"&amp;(TODAY()-$L8)&amp;"天",IF($L8=TODAY(),"🟡 今天要跟","🟢 还剩"&amp;($L8-TODAY())&amp;"天"))))</f>
      </c>
      <c r="N8" s="3" t="s">
        <v>26</v>
      </c>
      <c r="O8" s="3" t="s">
        <v>26</v>
      </c>
    </row>
    <row r="9" ht="22" customHeight="1" spans="1:15" x14ac:dyDescent="0.25">
      <c r="A9" s="3" t="s">
        <v>26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>
        <f>=IF($I9="","",IFS($I9="询盘",10%,$I9="报价中",30%,$I9="样品中",50%,$I9="谈判中",75%,$I9="已成交",100%,$I9="已流失",0%))</f>
      </c>
      <c r="K9" s="3" t="s">
        <v>26</v>
      </c>
      <c r="L9" s="3" t="s">
        <v>26</v>
      </c>
      <c r="M9" s="3">
        <f>=IF($A9="","",IF($L9="","",IF($L9&lt;TODAY(),"🔴 已逾期"&amp;(TODAY()-$L9)&amp;"天",IF($L9=TODAY(),"🟡 今天要跟","🟢 还剩"&amp;($L9-TODAY())&amp;"天"))))</f>
      </c>
      <c r="N9" s="3" t="s">
        <v>26</v>
      </c>
      <c r="O9" s="3" t="s">
        <v>26</v>
      </c>
    </row>
    <row r="10" ht="22" customHeight="1" spans="1:15" x14ac:dyDescent="0.25">
      <c r="A10" s="3" t="s">
        <v>26</v>
      </c>
      <c r="B10" s="3" t="s">
        <v>26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>
        <f>=IF($I10="","",IFS($I10="询盘",10%,$I10="报价中",30%,$I10="样品中",50%,$I10="谈判中",75%,$I10="已成交",100%,$I10="已流失",0%))</f>
      </c>
      <c r="K10" s="3" t="s">
        <v>26</v>
      </c>
      <c r="L10" s="3" t="s">
        <v>26</v>
      </c>
      <c r="M10" s="3">
        <f>=IF($A10="","",IF($L10="","",IF($L10&lt;TODAY(),"🔴 已逾期"&amp;(TODAY()-$L10)&amp;"天",IF($L10=TODAY(),"🟡 今天要跟","🟢 还剩"&amp;($L10-TODAY())&amp;"天"))))</f>
      </c>
      <c r="N10" s="3" t="s">
        <v>26</v>
      </c>
      <c r="O10" s="3" t="s">
        <v>26</v>
      </c>
    </row>
    <row r="11" ht="22" customHeight="1" spans="1:15" x14ac:dyDescent="0.25">
      <c r="A11" s="3" t="s">
        <v>26</v>
      </c>
      <c r="B11" s="3" t="s">
        <v>26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>
        <f>=IF($I11="","",IFS($I11="询盘",10%,$I11="报价中",30%,$I11="样品中",50%,$I11="谈判中",75%,$I11="已成交",100%,$I11="已流失",0%))</f>
      </c>
      <c r="K11" s="3" t="s">
        <v>26</v>
      </c>
      <c r="L11" s="3" t="s">
        <v>26</v>
      </c>
      <c r="M11" s="3">
        <f>=IF($A11="","",IF($L11="","",IF($L11&lt;TODAY(),"🔴 已逾期"&amp;(TODAY()-$L11)&amp;"天",IF($L11=TODAY(),"🟡 今天要跟","🟢 还剩"&amp;($L11-TODAY())&amp;"天"))))</f>
      </c>
      <c r="N11" s="3" t="s">
        <v>26</v>
      </c>
      <c r="O11" s="3" t="s">
        <v>26</v>
      </c>
    </row>
    <row r="12" ht="22" customHeight="1" spans="1:15" x14ac:dyDescent="0.25">
      <c r="A12" s="3" t="s">
        <v>26</v>
      </c>
      <c r="B12" s="3" t="s">
        <v>26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>
        <f>=IF($I12="","",IFS($I12="询盘",10%,$I12="报价中",30%,$I12="样品中",50%,$I12="谈判中",75%,$I12="已成交",100%,$I12="已流失",0%))</f>
      </c>
      <c r="K12" s="3" t="s">
        <v>26</v>
      </c>
      <c r="L12" s="3" t="s">
        <v>26</v>
      </c>
      <c r="M12" s="3">
        <f>=IF($A12="","",IF($L12="","",IF($L12&lt;TODAY(),"🔴 已逾期"&amp;(TODAY()-$L12)&amp;"天",IF($L12=TODAY(),"🟡 今天要跟","🟢 还剩"&amp;($L12-TODAY())&amp;"天"))))</f>
      </c>
      <c r="N12" s="3" t="s">
        <v>26</v>
      </c>
      <c r="O12" s="3" t="s">
        <v>26</v>
      </c>
    </row>
    <row r="13" ht="22" customHeight="1" spans="1:15" x14ac:dyDescent="0.25">
      <c r="A13" s="3" t="s">
        <v>26</v>
      </c>
      <c r="B13" s="3" t="s">
        <v>26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>
        <f>=IF($I13="","",IFS($I13="询盘",10%,$I13="报价中",30%,$I13="样品中",50%,$I13="谈判中",75%,$I13="已成交",100%,$I13="已流失",0%))</f>
      </c>
      <c r="K13" s="3" t="s">
        <v>26</v>
      </c>
      <c r="L13" s="3" t="s">
        <v>26</v>
      </c>
      <c r="M13" s="3">
        <f>=IF($A13="","",IF($L13="","",IF($L13&lt;TODAY(),"🔴 已逾期"&amp;(TODAY()-$L13)&amp;"天",IF($L13=TODAY(),"🟡 今天要跟","🟢 还剩"&amp;($L13-TODAY())&amp;"天"))))</f>
      </c>
      <c r="N13" s="3" t="s">
        <v>26</v>
      </c>
      <c r="O13" s="3" t="s">
        <v>26</v>
      </c>
    </row>
    <row r="14" ht="22" customHeight="1" spans="1:15" x14ac:dyDescent="0.25">
      <c r="A14" s="3" t="s">
        <v>26</v>
      </c>
      <c r="B14" s="3" t="s">
        <v>26</v>
      </c>
      <c r="C14" s="3" t="s">
        <v>26</v>
      </c>
      <c r="D14" s="3" t="s">
        <v>26</v>
      </c>
      <c r="E14" s="3" t="s">
        <v>26</v>
      </c>
      <c r="F14" s="3" t="s">
        <v>26</v>
      </c>
      <c r="G14" s="3" t="s">
        <v>26</v>
      </c>
      <c r="H14" s="3" t="s">
        <v>26</v>
      </c>
      <c r="I14" s="3" t="s">
        <v>26</v>
      </c>
      <c r="J14" s="3">
        <f>=IF($I14="","",IFS($I14="询盘",10%,$I14="报价中",30%,$I14="样品中",50%,$I14="谈判中",75%,$I14="已成交",100%,$I14="已流失",0%))</f>
      </c>
      <c r="K14" s="3" t="s">
        <v>26</v>
      </c>
      <c r="L14" s="3" t="s">
        <v>26</v>
      </c>
      <c r="M14" s="3">
        <f>=IF($A14="","",IF($L14="","",IF($L14&lt;TODAY(),"🔴 已逾期"&amp;(TODAY()-$L14)&amp;"天",IF($L14=TODAY(),"🟡 今天要跟","🟢 还剩"&amp;($L14-TODAY())&amp;"天"))))</f>
      </c>
      <c r="N14" s="3" t="s">
        <v>26</v>
      </c>
      <c r="O14" s="3" t="s">
        <v>26</v>
      </c>
    </row>
    <row r="15" ht="22" customHeight="1" spans="1:15" x14ac:dyDescent="0.25">
      <c r="A15" s="3" t="s">
        <v>26</v>
      </c>
      <c r="B15" s="3" t="s">
        <v>26</v>
      </c>
      <c r="C15" s="3" t="s">
        <v>26</v>
      </c>
      <c r="D15" s="3" t="s">
        <v>26</v>
      </c>
      <c r="E15" s="3" t="s">
        <v>26</v>
      </c>
      <c r="F15" s="3" t="s">
        <v>26</v>
      </c>
      <c r="G15" s="3" t="s">
        <v>26</v>
      </c>
      <c r="H15" s="3" t="s">
        <v>26</v>
      </c>
      <c r="I15" s="3" t="s">
        <v>26</v>
      </c>
      <c r="J15" s="3">
        <f>=IF($I15="","",IFS($I15="询盘",10%,$I15="报价中",30%,$I15="样品中",50%,$I15="谈判中",75%,$I15="已成交",100%,$I15="已流失",0%))</f>
      </c>
      <c r="K15" s="3" t="s">
        <v>26</v>
      </c>
      <c r="L15" s="3" t="s">
        <v>26</v>
      </c>
      <c r="M15" s="3">
        <f>=IF($A15="","",IF($L15="","",IF($L15&lt;TODAY(),"🔴 已逾期"&amp;(TODAY()-$L15)&amp;"天",IF($L15=TODAY(),"🟡 今天要跟","🟢 还剩"&amp;($L15-TODAY())&amp;"天"))))</f>
      </c>
      <c r="N15" s="3" t="s">
        <v>26</v>
      </c>
      <c r="O15" s="3" t="s">
        <v>26</v>
      </c>
    </row>
    <row r="16" ht="22" customHeight="1" spans="1:15" x14ac:dyDescent="0.25">
      <c r="A16" s="3" t="s">
        <v>26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26</v>
      </c>
      <c r="G16" s="3" t="s">
        <v>26</v>
      </c>
      <c r="H16" s="3" t="s">
        <v>26</v>
      </c>
      <c r="I16" s="3" t="s">
        <v>26</v>
      </c>
      <c r="J16" s="3">
        <f>=IF($I16="","",IFS($I16="询盘",10%,$I16="报价中",30%,$I16="样品中",50%,$I16="谈判中",75%,$I16="已成交",100%,$I16="已流失",0%))</f>
      </c>
      <c r="K16" s="3" t="s">
        <v>26</v>
      </c>
      <c r="L16" s="3" t="s">
        <v>26</v>
      </c>
      <c r="M16" s="3">
        <f>=IF($A16="","",IF($L16="","",IF($L16&lt;TODAY(),"🔴 已逾期"&amp;(TODAY()-$L16)&amp;"天",IF($L16=TODAY(),"🟡 今天要跟","🟢 还剩"&amp;($L16-TODAY())&amp;"天"))))</f>
      </c>
      <c r="N16" s="3" t="s">
        <v>26</v>
      </c>
      <c r="O16" s="3" t="s">
        <v>26</v>
      </c>
    </row>
    <row r="17" ht="22" customHeight="1" spans="1:15" x14ac:dyDescent="0.25">
      <c r="A17" s="3" t="s">
        <v>26</v>
      </c>
      <c r="B17" s="3" t="s">
        <v>26</v>
      </c>
      <c r="C17" s="3" t="s">
        <v>26</v>
      </c>
      <c r="D17" s="3" t="s">
        <v>26</v>
      </c>
      <c r="E17" s="3" t="s">
        <v>26</v>
      </c>
      <c r="F17" s="3" t="s">
        <v>26</v>
      </c>
      <c r="G17" s="3" t="s">
        <v>26</v>
      </c>
      <c r="H17" s="3" t="s">
        <v>26</v>
      </c>
      <c r="I17" s="3" t="s">
        <v>26</v>
      </c>
      <c r="J17" s="3">
        <f>=IF($I17="","",IFS($I17="询盘",10%,$I17="报价中",30%,$I17="样品中",50%,$I17="谈判中",75%,$I17="已成交",100%,$I17="已流失",0%))</f>
      </c>
      <c r="K17" s="3" t="s">
        <v>26</v>
      </c>
      <c r="L17" s="3" t="s">
        <v>26</v>
      </c>
      <c r="M17" s="3">
        <f>=IF($A17="","",IF($L17="","",IF($L17&lt;TODAY(),"🔴 已逾期"&amp;(TODAY()-$L17)&amp;"天",IF($L17=TODAY(),"🟡 今天要跟","🟢 还剩"&amp;($L17-TODAY())&amp;"天"))))</f>
      </c>
      <c r="N17" s="3" t="s">
        <v>26</v>
      </c>
      <c r="O17" s="3" t="s">
        <v>26</v>
      </c>
    </row>
    <row r="18" ht="22" customHeight="1" spans="1:15" x14ac:dyDescent="0.25">
      <c r="A18" s="3" t="s">
        <v>26</v>
      </c>
      <c r="B18" s="3" t="s">
        <v>26</v>
      </c>
      <c r="C18" s="3" t="s">
        <v>26</v>
      </c>
      <c r="D18" s="3" t="s">
        <v>26</v>
      </c>
      <c r="E18" s="3" t="s">
        <v>26</v>
      </c>
      <c r="F18" s="3" t="s">
        <v>26</v>
      </c>
      <c r="G18" s="3" t="s">
        <v>26</v>
      </c>
      <c r="H18" s="3" t="s">
        <v>26</v>
      </c>
      <c r="I18" s="3" t="s">
        <v>26</v>
      </c>
      <c r="J18" s="3">
        <f>=IF($I18="","",IFS($I18="询盘",10%,$I18="报价中",30%,$I18="样品中",50%,$I18="谈判中",75%,$I18="已成交",100%,$I18="已流失",0%))</f>
      </c>
      <c r="K18" s="3" t="s">
        <v>26</v>
      </c>
      <c r="L18" s="3" t="s">
        <v>26</v>
      </c>
      <c r="M18" s="3">
        <f>=IF($A18="","",IF($L18="","",IF($L18&lt;TODAY(),"🔴 已逾期"&amp;(TODAY()-$L18)&amp;"天",IF($L18=TODAY(),"🟡 今天要跟","🟢 还剩"&amp;($L18-TODAY())&amp;"天"))))</f>
      </c>
      <c r="N18" s="3" t="s">
        <v>26</v>
      </c>
      <c r="O18" s="3" t="s">
        <v>26</v>
      </c>
    </row>
    <row r="19" ht="22" customHeight="1" spans="1:15" x14ac:dyDescent="0.25">
      <c r="A19" s="3" t="s">
        <v>26</v>
      </c>
      <c r="B19" s="3" t="s">
        <v>26</v>
      </c>
      <c r="C19" s="3" t="s">
        <v>26</v>
      </c>
      <c r="D19" s="3" t="s">
        <v>26</v>
      </c>
      <c r="E19" s="3" t="s">
        <v>26</v>
      </c>
      <c r="F19" s="3" t="s">
        <v>26</v>
      </c>
      <c r="G19" s="3" t="s">
        <v>26</v>
      </c>
      <c r="H19" s="3" t="s">
        <v>26</v>
      </c>
      <c r="I19" s="3" t="s">
        <v>26</v>
      </c>
      <c r="J19" s="3">
        <f>=IF($I19="","",IFS($I19="询盘",10%,$I19="报价中",30%,$I19="样品中",50%,$I19="谈判中",75%,$I19="已成交",100%,$I19="已流失",0%))</f>
      </c>
      <c r="K19" s="3" t="s">
        <v>26</v>
      </c>
      <c r="L19" s="3" t="s">
        <v>26</v>
      </c>
      <c r="M19" s="3">
        <f>=IF($A19="","",IF($L19="","",IF($L19&lt;TODAY(),"🔴 已逾期"&amp;(TODAY()-$L19)&amp;"天",IF($L19=TODAY(),"🟡 今天要跟","🟢 还剩"&amp;($L19-TODAY())&amp;"天"))))</f>
      </c>
      <c r="N19" s="3" t="s">
        <v>26</v>
      </c>
      <c r="O19" s="3" t="s">
        <v>26</v>
      </c>
    </row>
    <row r="20" ht="22" customHeight="1" spans="1:15" x14ac:dyDescent="0.25">
      <c r="A20" s="3" t="s">
        <v>26</v>
      </c>
      <c r="B20" s="3" t="s">
        <v>26</v>
      </c>
      <c r="C20" s="3" t="s">
        <v>26</v>
      </c>
      <c r="D20" s="3" t="s">
        <v>26</v>
      </c>
      <c r="E20" s="3" t="s">
        <v>26</v>
      </c>
      <c r="F20" s="3" t="s">
        <v>26</v>
      </c>
      <c r="G20" s="3" t="s">
        <v>26</v>
      </c>
      <c r="H20" s="3" t="s">
        <v>26</v>
      </c>
      <c r="I20" s="3" t="s">
        <v>26</v>
      </c>
      <c r="J20" s="3">
        <f>=IF($I20="","",IFS($I20="询盘",10%,$I20="报价中",30%,$I20="样品中",50%,$I20="谈判中",75%,$I20="已成交",100%,$I20="已流失",0%))</f>
      </c>
      <c r="K20" s="3" t="s">
        <v>26</v>
      </c>
      <c r="L20" s="3" t="s">
        <v>26</v>
      </c>
      <c r="M20" s="3">
        <f>=IF($A20="","",IF($L20="","",IF($L20&lt;TODAY(),"🔴 已逾期"&amp;(TODAY()-$L20)&amp;"天",IF($L20=TODAY(),"🟡 今天要跟","🟢 还剩"&amp;($L20-TODAY())&amp;"天"))))</f>
      </c>
      <c r="N20" s="3" t="s">
        <v>26</v>
      </c>
      <c r="O20" s="3" t="s">
        <v>26</v>
      </c>
    </row>
    <row r="21" ht="22" customHeight="1" spans="1:15" x14ac:dyDescent="0.25">
      <c r="A21" s="3" t="s">
        <v>26</v>
      </c>
      <c r="B21" s="3" t="s">
        <v>26</v>
      </c>
      <c r="C21" s="3" t="s">
        <v>26</v>
      </c>
      <c r="D21" s="3" t="s">
        <v>26</v>
      </c>
      <c r="E21" s="3" t="s">
        <v>26</v>
      </c>
      <c r="F21" s="3" t="s">
        <v>26</v>
      </c>
      <c r="G21" s="3" t="s">
        <v>26</v>
      </c>
      <c r="H21" s="3" t="s">
        <v>26</v>
      </c>
      <c r="I21" s="3" t="s">
        <v>26</v>
      </c>
      <c r="J21" s="3">
        <f>=IF($I21="","",IFS($I21="询盘",10%,$I21="报价中",30%,$I21="样品中",50%,$I21="谈判中",75%,$I21="已成交",100%,$I21="已流失",0%))</f>
      </c>
      <c r="K21" s="3" t="s">
        <v>26</v>
      </c>
      <c r="L21" s="3" t="s">
        <v>26</v>
      </c>
      <c r="M21" s="3">
        <f>=IF($A21="","",IF($L21="","",IF($L21&lt;TODAY(),"🔴 已逾期"&amp;(TODAY()-$L21)&amp;"天",IF($L21=TODAY(),"🟡 今天要跟","🟢 还剩"&amp;($L21-TODAY())&amp;"天"))))</f>
      </c>
      <c r="N21" s="3" t="s">
        <v>26</v>
      </c>
      <c r="O21" s="3" t="s">
        <v>26</v>
      </c>
    </row>
    <row r="22" ht="22" customHeight="1" spans="1:15" x14ac:dyDescent="0.25">
      <c r="A22" s="3" t="s">
        <v>26</v>
      </c>
      <c r="B22" s="3" t="s">
        <v>26</v>
      </c>
      <c r="C22" s="3" t="s">
        <v>26</v>
      </c>
      <c r="D22" s="3" t="s">
        <v>26</v>
      </c>
      <c r="E22" s="3" t="s">
        <v>26</v>
      </c>
      <c r="F22" s="3" t="s">
        <v>26</v>
      </c>
      <c r="G22" s="3" t="s">
        <v>26</v>
      </c>
      <c r="H22" s="3" t="s">
        <v>26</v>
      </c>
      <c r="I22" s="3" t="s">
        <v>26</v>
      </c>
      <c r="J22" s="3">
        <f>=IF($I22="","",IFS($I22="询盘",10%,$I22="报价中",30%,$I22="样品中",50%,$I22="谈判中",75%,$I22="已成交",100%,$I22="已流失",0%))</f>
      </c>
      <c r="K22" s="3" t="s">
        <v>26</v>
      </c>
      <c r="L22" s="3" t="s">
        <v>26</v>
      </c>
      <c r="M22" s="3">
        <f>=IF($A22="","",IF($L22="","",IF($L22&lt;TODAY(),"🔴 已逾期"&amp;(TODAY()-$L22)&amp;"天",IF($L22=TODAY(),"🟡 今天要跟","🟢 还剩"&amp;($L22-TODAY())&amp;"天"))))</f>
      </c>
      <c r="N22" s="3" t="s">
        <v>26</v>
      </c>
      <c r="O22" s="3" t="s">
        <v>26</v>
      </c>
    </row>
    <row r="23" ht="22" customHeight="1" spans="1:15" x14ac:dyDescent="0.25">
      <c r="A23" s="3" t="s">
        <v>26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26</v>
      </c>
      <c r="G23" s="3" t="s">
        <v>26</v>
      </c>
      <c r="H23" s="3" t="s">
        <v>26</v>
      </c>
      <c r="I23" s="3" t="s">
        <v>26</v>
      </c>
      <c r="J23" s="3">
        <f>=IF($I23="","",IFS($I23="询盘",10%,$I23="报价中",30%,$I23="样品中",50%,$I23="谈判中",75%,$I23="已成交",100%,$I23="已流失",0%))</f>
      </c>
      <c r="K23" s="3" t="s">
        <v>26</v>
      </c>
      <c r="L23" s="3" t="s">
        <v>26</v>
      </c>
      <c r="M23" s="3">
        <f>=IF($A23="","",IF($L23="","",IF($L23&lt;TODAY(),"🔴 已逾期"&amp;(TODAY()-$L23)&amp;"天",IF($L23=TODAY(),"🟡 今天要跟","🟢 还剩"&amp;($L23-TODAY())&amp;"天"))))</f>
      </c>
      <c r="N23" s="3" t="s">
        <v>26</v>
      </c>
      <c r="O23" s="3" t="s">
        <v>26</v>
      </c>
    </row>
    <row r="24" ht="22" customHeight="1" spans="1:15" x14ac:dyDescent="0.25">
      <c r="A24" s="3" t="s">
        <v>26</v>
      </c>
      <c r="B24" s="3" t="s">
        <v>26</v>
      </c>
      <c r="C24" s="3" t="s">
        <v>26</v>
      </c>
      <c r="D24" s="3" t="s">
        <v>26</v>
      </c>
      <c r="E24" s="3" t="s">
        <v>26</v>
      </c>
      <c r="F24" s="3" t="s">
        <v>26</v>
      </c>
      <c r="G24" s="3" t="s">
        <v>26</v>
      </c>
      <c r="H24" s="3" t="s">
        <v>26</v>
      </c>
      <c r="I24" s="3" t="s">
        <v>26</v>
      </c>
      <c r="J24" s="3">
        <f>=IF($I24="","",IFS($I24="询盘",10%,$I24="报价中",30%,$I24="样品中",50%,$I24="谈判中",75%,$I24="已成交",100%,$I24="已流失",0%))</f>
      </c>
      <c r="K24" s="3" t="s">
        <v>26</v>
      </c>
      <c r="L24" s="3" t="s">
        <v>26</v>
      </c>
      <c r="M24" s="3">
        <f>=IF($A24="","",IF($L24="","",IF($L24&lt;TODAY(),"🔴 已逾期"&amp;(TODAY()-$L24)&amp;"天",IF($L24=TODAY(),"🟡 今天要跟","🟢 还剩"&amp;($L24-TODAY())&amp;"天"))))</f>
      </c>
      <c r="N24" s="3" t="s">
        <v>26</v>
      </c>
      <c r="O24" s="3" t="s">
        <v>26</v>
      </c>
    </row>
    <row r="25" ht="22" customHeight="1" spans="1:15" x14ac:dyDescent="0.25">
      <c r="A25" s="3" t="s">
        <v>26</v>
      </c>
      <c r="B25" s="3" t="s">
        <v>26</v>
      </c>
      <c r="C25" s="3" t="s">
        <v>26</v>
      </c>
      <c r="D25" s="3" t="s">
        <v>26</v>
      </c>
      <c r="E25" s="3" t="s">
        <v>26</v>
      </c>
      <c r="F25" s="3" t="s">
        <v>26</v>
      </c>
      <c r="G25" s="3" t="s">
        <v>26</v>
      </c>
      <c r="H25" s="3" t="s">
        <v>26</v>
      </c>
      <c r="I25" s="3" t="s">
        <v>26</v>
      </c>
      <c r="J25" s="3">
        <f>=IF($I25="","",IFS($I25="询盘",10%,$I25="报价中",30%,$I25="样品中",50%,$I25="谈判中",75%,$I25="已成交",100%,$I25="已流失",0%))</f>
      </c>
      <c r="K25" s="3" t="s">
        <v>26</v>
      </c>
      <c r="L25" s="3" t="s">
        <v>26</v>
      </c>
      <c r="M25" s="3">
        <f>=IF($A25="","",IF($L25="","",IF($L25&lt;TODAY(),"🔴 已逾期"&amp;(TODAY()-$L25)&amp;"天",IF($L25=TODAY(),"🟡 今天要跟","🟢 还剩"&amp;($L25-TODAY())&amp;"天"))))</f>
      </c>
      <c r="N25" s="3" t="s">
        <v>26</v>
      </c>
      <c r="O25" s="3" t="s">
        <v>26</v>
      </c>
    </row>
    <row r="26" ht="22" customHeight="1" spans="1:15" x14ac:dyDescent="0.25">
      <c r="A26" s="3" t="s">
        <v>26</v>
      </c>
      <c r="B26" s="3" t="s">
        <v>26</v>
      </c>
      <c r="C26" s="3" t="s">
        <v>26</v>
      </c>
      <c r="D26" s="3" t="s">
        <v>26</v>
      </c>
      <c r="E26" s="3" t="s">
        <v>26</v>
      </c>
      <c r="F26" s="3" t="s">
        <v>26</v>
      </c>
      <c r="G26" s="3" t="s">
        <v>26</v>
      </c>
      <c r="H26" s="3" t="s">
        <v>26</v>
      </c>
      <c r="I26" s="3" t="s">
        <v>26</v>
      </c>
      <c r="J26" s="3">
        <f>=IF($I26="","",IFS($I26="询盘",10%,$I26="报价中",30%,$I26="样品中",50%,$I26="谈判中",75%,$I26="已成交",100%,$I26="已流失",0%))</f>
      </c>
      <c r="K26" s="3" t="s">
        <v>26</v>
      </c>
      <c r="L26" s="3" t="s">
        <v>26</v>
      </c>
      <c r="M26" s="3">
        <f>=IF($A26="","",IF($L26="","",IF($L26&lt;TODAY(),"🔴 已逾期"&amp;(TODAY()-$L26)&amp;"天",IF($L26=TODAY(),"🟡 今天要跟","🟢 还剩"&amp;($L26-TODAY())&amp;"天"))))</f>
      </c>
      <c r="N26" s="3" t="s">
        <v>26</v>
      </c>
      <c r="O26" s="3" t="s">
        <v>26</v>
      </c>
    </row>
    <row r="27" ht="22" customHeight="1" spans="1:15" x14ac:dyDescent="0.25">
      <c r="A27" s="3" t="s">
        <v>26</v>
      </c>
      <c r="B27" s="3" t="s">
        <v>26</v>
      </c>
      <c r="C27" s="3" t="s">
        <v>26</v>
      </c>
      <c r="D27" s="3" t="s">
        <v>26</v>
      </c>
      <c r="E27" s="3" t="s">
        <v>26</v>
      </c>
      <c r="F27" s="3" t="s">
        <v>26</v>
      </c>
      <c r="G27" s="3" t="s">
        <v>26</v>
      </c>
      <c r="H27" s="3" t="s">
        <v>26</v>
      </c>
      <c r="I27" s="3" t="s">
        <v>26</v>
      </c>
      <c r="J27" s="3">
        <f>=IF($I27="","",IFS($I27="询盘",10%,$I27="报价中",30%,$I27="样品中",50%,$I27="谈判中",75%,$I27="已成交",100%,$I27="已流失",0%))</f>
      </c>
      <c r="K27" s="3" t="s">
        <v>26</v>
      </c>
      <c r="L27" s="3" t="s">
        <v>26</v>
      </c>
      <c r="M27" s="3">
        <f>=IF($A27="","",IF($L27="","",IF($L27&lt;TODAY(),"🔴 已逾期"&amp;(TODAY()-$L27)&amp;"天",IF($L27=TODAY(),"🟡 今天要跟","🟢 还剩"&amp;($L27-TODAY())&amp;"天"))))</f>
      </c>
      <c r="N27" s="3" t="s">
        <v>26</v>
      </c>
      <c r="O27" s="3" t="s">
        <v>26</v>
      </c>
    </row>
    <row r="28" ht="22" customHeight="1" spans="1:15" x14ac:dyDescent="0.25">
      <c r="A28" s="3" t="s">
        <v>26</v>
      </c>
      <c r="B28" s="3" t="s">
        <v>26</v>
      </c>
      <c r="C28" s="3" t="s">
        <v>26</v>
      </c>
      <c r="D28" s="3" t="s">
        <v>26</v>
      </c>
      <c r="E28" s="3" t="s">
        <v>26</v>
      </c>
      <c r="F28" s="3" t="s">
        <v>26</v>
      </c>
      <c r="G28" s="3" t="s">
        <v>26</v>
      </c>
      <c r="H28" s="3" t="s">
        <v>26</v>
      </c>
      <c r="I28" s="3" t="s">
        <v>26</v>
      </c>
      <c r="J28" s="3">
        <f>=IF($I28="","",IFS($I28="询盘",10%,$I28="报价中",30%,$I28="样品中",50%,$I28="谈判中",75%,$I28="已成交",100%,$I28="已流失",0%))</f>
      </c>
      <c r="K28" s="3" t="s">
        <v>26</v>
      </c>
      <c r="L28" s="3" t="s">
        <v>26</v>
      </c>
      <c r="M28" s="3">
        <f>=IF($A28="","",IF($L28="","",IF($L28&lt;TODAY(),"🔴 已逾期"&amp;(TODAY()-$L28)&amp;"天",IF($L28=TODAY(),"🟡 今天要跟","🟢 还剩"&amp;($L28-TODAY())&amp;"天"))))</f>
      </c>
      <c r="N28" s="3" t="s">
        <v>26</v>
      </c>
      <c r="O28" s="3" t="s">
        <v>26</v>
      </c>
    </row>
    <row r="29" ht="22" customHeight="1" spans="1:15" x14ac:dyDescent="0.25">
      <c r="A29" s="3" t="s">
        <v>26</v>
      </c>
      <c r="B29" s="3" t="s">
        <v>26</v>
      </c>
      <c r="C29" s="3" t="s">
        <v>26</v>
      </c>
      <c r="D29" s="3" t="s">
        <v>26</v>
      </c>
      <c r="E29" s="3" t="s">
        <v>26</v>
      </c>
      <c r="F29" s="3" t="s">
        <v>26</v>
      </c>
      <c r="G29" s="3" t="s">
        <v>26</v>
      </c>
      <c r="H29" s="3" t="s">
        <v>26</v>
      </c>
      <c r="I29" s="3" t="s">
        <v>26</v>
      </c>
      <c r="J29" s="3">
        <f>=IF($I29="","",IFS($I29="询盘",10%,$I29="报价中",30%,$I29="样品中",50%,$I29="谈判中",75%,$I29="已成交",100%,$I29="已流失",0%))</f>
      </c>
      <c r="K29" s="3" t="s">
        <v>26</v>
      </c>
      <c r="L29" s="3" t="s">
        <v>26</v>
      </c>
      <c r="M29" s="3">
        <f>=IF($A29="","",IF($L29="","",IF($L29&lt;TODAY(),"🔴 已逾期"&amp;(TODAY()-$L29)&amp;"天",IF($L29=TODAY(),"🟡 今天要跟","🟢 还剩"&amp;($L29-TODAY())&amp;"天"))))</f>
      </c>
      <c r="N29" s="3" t="s">
        <v>26</v>
      </c>
      <c r="O29" s="3" t="s">
        <v>26</v>
      </c>
    </row>
    <row r="30" ht="22" customHeight="1" spans="1:15" x14ac:dyDescent="0.25">
      <c r="A30" s="3" t="s">
        <v>26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26</v>
      </c>
      <c r="H30" s="3" t="s">
        <v>26</v>
      </c>
      <c r="I30" s="3" t="s">
        <v>26</v>
      </c>
      <c r="J30" s="3">
        <f>=IF($I30="","",IFS($I30="询盘",10%,$I30="报价中",30%,$I30="样品中",50%,$I30="谈判中",75%,$I30="已成交",100%,$I30="已流失",0%))</f>
      </c>
      <c r="K30" s="3" t="s">
        <v>26</v>
      </c>
      <c r="L30" s="3" t="s">
        <v>26</v>
      </c>
      <c r="M30" s="3">
        <f>=IF($A30="","",IF($L30="","",IF($L30&lt;TODAY(),"🔴 已逾期"&amp;(TODAY()-$L30)&amp;"天",IF($L30=TODAY(),"🟡 今天要跟","🟢 还剩"&amp;($L30-TODAY())&amp;"天"))))</f>
      </c>
      <c r="N30" s="3" t="s">
        <v>26</v>
      </c>
      <c r="O30" s="3" t="s">
        <v>26</v>
      </c>
    </row>
    <row r="31" ht="22" customHeight="1" spans="1:15" x14ac:dyDescent="0.25">
      <c r="A31" s="3" t="s">
        <v>26</v>
      </c>
      <c r="B31" s="3" t="s">
        <v>26</v>
      </c>
      <c r="C31" s="3" t="s">
        <v>26</v>
      </c>
      <c r="D31" s="3" t="s">
        <v>26</v>
      </c>
      <c r="E31" s="3" t="s">
        <v>26</v>
      </c>
      <c r="F31" s="3" t="s">
        <v>26</v>
      </c>
      <c r="G31" s="3" t="s">
        <v>26</v>
      </c>
      <c r="H31" s="3" t="s">
        <v>26</v>
      </c>
      <c r="I31" s="3" t="s">
        <v>26</v>
      </c>
      <c r="J31" s="3">
        <f>=IF($I31="","",IFS($I31="询盘",10%,$I31="报价中",30%,$I31="样品中",50%,$I31="谈判中",75%,$I31="已成交",100%,$I31="已流失",0%))</f>
      </c>
      <c r="K31" s="3" t="s">
        <v>26</v>
      </c>
      <c r="L31" s="3" t="s">
        <v>26</v>
      </c>
      <c r="M31" s="3">
        <f>=IF($A31="","",IF($L31="","",IF($L31&lt;TODAY(),"🔴 已逾期"&amp;(TODAY()-$L31)&amp;"天",IF($L31=TODAY(),"🟡 今天要跟","🟢 还剩"&amp;($L31-TODAY())&amp;"天"))))</f>
      </c>
      <c r="N31" s="3" t="s">
        <v>26</v>
      </c>
      <c r="O31" s="3" t="s">
        <v>26</v>
      </c>
    </row>
    <row r="32" ht="22" customHeight="1" spans="1:15" x14ac:dyDescent="0.25">
      <c r="A32" s="3" t="s">
        <v>26</v>
      </c>
      <c r="B32" s="3" t="s">
        <v>26</v>
      </c>
      <c r="C32" s="3" t="s">
        <v>26</v>
      </c>
      <c r="D32" s="3" t="s">
        <v>26</v>
      </c>
      <c r="E32" s="3" t="s">
        <v>26</v>
      </c>
      <c r="F32" s="3" t="s">
        <v>26</v>
      </c>
      <c r="G32" s="3" t="s">
        <v>26</v>
      </c>
      <c r="H32" s="3" t="s">
        <v>26</v>
      </c>
      <c r="I32" s="3" t="s">
        <v>26</v>
      </c>
      <c r="J32" s="3">
        <f>=IF($I32="","",IFS($I32="询盘",10%,$I32="报价中",30%,$I32="样品中",50%,$I32="谈判中",75%,$I32="已成交",100%,$I32="已流失",0%))</f>
      </c>
      <c r="K32" s="3" t="s">
        <v>26</v>
      </c>
      <c r="L32" s="3" t="s">
        <v>26</v>
      </c>
      <c r="M32" s="3">
        <f>=IF($A32="","",IF($L32="","",IF($L32&lt;TODAY(),"🔴 已逾期"&amp;(TODAY()-$L32)&amp;"天",IF($L32=TODAY(),"🟡 今天要跟","🟢 还剩"&amp;($L32-TODAY())&amp;"天"))))</f>
      </c>
      <c r="N32" s="3" t="s">
        <v>26</v>
      </c>
      <c r="O32" s="3" t="s">
        <v>26</v>
      </c>
    </row>
    <row r="33" ht="22" customHeight="1" spans="1:15" x14ac:dyDescent="0.25">
      <c r="A33" s="3" t="s">
        <v>26</v>
      </c>
      <c r="B33" s="3" t="s">
        <v>26</v>
      </c>
      <c r="C33" s="3" t="s">
        <v>26</v>
      </c>
      <c r="D33" s="3" t="s">
        <v>26</v>
      </c>
      <c r="E33" s="3" t="s">
        <v>26</v>
      </c>
      <c r="F33" s="3" t="s">
        <v>26</v>
      </c>
      <c r="G33" s="3" t="s">
        <v>26</v>
      </c>
      <c r="H33" s="3" t="s">
        <v>26</v>
      </c>
      <c r="I33" s="3" t="s">
        <v>26</v>
      </c>
      <c r="J33" s="3">
        <f>=IF($I33="","",IFS($I33="询盘",10%,$I33="报价中",30%,$I33="样品中",50%,$I33="谈判中",75%,$I33="已成交",100%,$I33="已流失",0%))</f>
      </c>
      <c r="K33" s="3" t="s">
        <v>26</v>
      </c>
      <c r="L33" s="3" t="s">
        <v>26</v>
      </c>
      <c r="M33" s="3">
        <f>=IF($A33="","",IF($L33="","",IF($L33&lt;TODAY(),"🔴 已逾期"&amp;(TODAY()-$L33)&amp;"天",IF($L33=TODAY(),"🟡 今天要跟","🟢 还剩"&amp;($L33-TODAY())&amp;"天"))))</f>
      </c>
      <c r="N33" s="3" t="s">
        <v>26</v>
      </c>
      <c r="O33" s="3" t="s">
        <v>26</v>
      </c>
    </row>
    <row r="34" ht="22" customHeight="1" spans="1:15" x14ac:dyDescent="0.25">
      <c r="A34" s="3" t="s">
        <v>26</v>
      </c>
      <c r="B34" s="3" t="s">
        <v>26</v>
      </c>
      <c r="C34" s="3" t="s">
        <v>26</v>
      </c>
      <c r="D34" s="3" t="s">
        <v>26</v>
      </c>
      <c r="E34" s="3" t="s">
        <v>26</v>
      </c>
      <c r="F34" s="3" t="s">
        <v>26</v>
      </c>
      <c r="G34" s="3" t="s">
        <v>26</v>
      </c>
      <c r="H34" s="3" t="s">
        <v>26</v>
      </c>
      <c r="I34" s="3" t="s">
        <v>26</v>
      </c>
      <c r="J34" s="3">
        <f>=IF($I34="","",IFS($I34="询盘",10%,$I34="报价中",30%,$I34="样品中",50%,$I34="谈判中",75%,$I34="已成交",100%,$I34="已流失",0%))</f>
      </c>
      <c r="K34" s="3" t="s">
        <v>26</v>
      </c>
      <c r="L34" s="3" t="s">
        <v>26</v>
      </c>
      <c r="M34" s="3">
        <f>=IF($A34="","",IF($L34="","",IF($L34&lt;TODAY(),"🔴 已逾期"&amp;(TODAY()-$L34)&amp;"天",IF($L34=TODAY(),"🟡 今天要跟","🟢 还剩"&amp;($L34-TODAY())&amp;"天"))))</f>
      </c>
      <c r="N34" s="3" t="s">
        <v>26</v>
      </c>
      <c r="O34" s="3" t="s">
        <v>26</v>
      </c>
    </row>
    <row r="35" ht="22" customHeight="1" spans="1:15" x14ac:dyDescent="0.25">
      <c r="A35" s="3" t="s">
        <v>26</v>
      </c>
      <c r="B35" s="3" t="s">
        <v>26</v>
      </c>
      <c r="C35" s="3" t="s">
        <v>26</v>
      </c>
      <c r="D35" s="3" t="s">
        <v>26</v>
      </c>
      <c r="E35" s="3" t="s">
        <v>26</v>
      </c>
      <c r="F35" s="3" t="s">
        <v>26</v>
      </c>
      <c r="G35" s="3" t="s">
        <v>26</v>
      </c>
      <c r="H35" s="3" t="s">
        <v>26</v>
      </c>
      <c r="I35" s="3" t="s">
        <v>26</v>
      </c>
      <c r="J35" s="3">
        <f>=IF($I35="","",IFS($I35="询盘",10%,$I35="报价中",30%,$I35="样品中",50%,$I35="谈判中",75%,$I35="已成交",100%,$I35="已流失",0%))</f>
      </c>
      <c r="K35" s="3" t="s">
        <v>26</v>
      </c>
      <c r="L35" s="3" t="s">
        <v>26</v>
      </c>
      <c r="M35" s="3">
        <f>=IF($A35="","",IF($L35="","",IF($L35&lt;TODAY(),"🔴 已逾期"&amp;(TODAY()-$L35)&amp;"天",IF($L35=TODAY(),"🟡 今天要跟","🟢 还剩"&amp;($L35-TODAY())&amp;"天"))))</f>
      </c>
      <c r="N35" s="3" t="s">
        <v>26</v>
      </c>
      <c r="O35" s="3" t="s">
        <v>26</v>
      </c>
    </row>
    <row r="36" ht="22" customHeight="1" spans="1:15" x14ac:dyDescent="0.25">
      <c r="A36" s="3" t="s">
        <v>26</v>
      </c>
      <c r="B36" s="3" t="s">
        <v>26</v>
      </c>
      <c r="C36" s="3" t="s">
        <v>26</v>
      </c>
      <c r="D36" s="3" t="s">
        <v>26</v>
      </c>
      <c r="E36" s="3" t="s">
        <v>26</v>
      </c>
      <c r="F36" s="3" t="s">
        <v>26</v>
      </c>
      <c r="G36" s="3" t="s">
        <v>26</v>
      </c>
      <c r="H36" s="3" t="s">
        <v>26</v>
      </c>
      <c r="I36" s="3" t="s">
        <v>26</v>
      </c>
      <c r="J36" s="3">
        <f>=IF($I36="","",IFS($I36="询盘",10%,$I36="报价中",30%,$I36="样品中",50%,$I36="谈判中",75%,$I36="已成交",100%,$I36="已流失",0%))</f>
      </c>
      <c r="K36" s="3" t="s">
        <v>26</v>
      </c>
      <c r="L36" s="3" t="s">
        <v>26</v>
      </c>
      <c r="M36" s="3">
        <f>=IF($A36="","",IF($L36="","",IF($L36&lt;TODAY(),"🔴 已逾期"&amp;(TODAY()-$L36)&amp;"天",IF($L36=TODAY(),"🟡 今天要跟","🟢 还剩"&amp;($L36-TODAY())&amp;"天"))))</f>
      </c>
      <c r="N36" s="3" t="s">
        <v>26</v>
      </c>
      <c r="O36" s="3" t="s">
        <v>26</v>
      </c>
    </row>
    <row r="37" ht="22" customHeight="1" spans="1:15" x14ac:dyDescent="0.25">
      <c r="A37" s="3" t="s">
        <v>26</v>
      </c>
      <c r="B37" s="3" t="s">
        <v>26</v>
      </c>
      <c r="C37" s="3" t="s">
        <v>26</v>
      </c>
      <c r="D37" s="3" t="s">
        <v>26</v>
      </c>
      <c r="E37" s="3" t="s">
        <v>26</v>
      </c>
      <c r="F37" s="3" t="s">
        <v>26</v>
      </c>
      <c r="G37" s="3" t="s">
        <v>26</v>
      </c>
      <c r="H37" s="3" t="s">
        <v>26</v>
      </c>
      <c r="I37" s="3" t="s">
        <v>26</v>
      </c>
      <c r="J37" s="3">
        <f>=IF($I37="","",IFS($I37="询盘",10%,$I37="报价中",30%,$I37="样品中",50%,$I37="谈判中",75%,$I37="已成交",100%,$I37="已流失",0%))</f>
      </c>
      <c r="K37" s="3" t="s">
        <v>26</v>
      </c>
      <c r="L37" s="3" t="s">
        <v>26</v>
      </c>
      <c r="M37" s="3">
        <f>=IF($A37="","",IF($L37="","",IF($L37&lt;TODAY(),"🔴 已逾期"&amp;(TODAY()-$L37)&amp;"天",IF($L37=TODAY(),"🟡 今天要跟","🟢 还剩"&amp;($L37-TODAY())&amp;"天"))))</f>
      </c>
      <c r="N37" s="3" t="s">
        <v>26</v>
      </c>
      <c r="O37" s="3" t="s">
        <v>26</v>
      </c>
    </row>
    <row r="38" ht="22" customHeight="1" spans="1:15" x14ac:dyDescent="0.25">
      <c r="A38" s="3" t="s">
        <v>26</v>
      </c>
      <c r="B38" s="3" t="s">
        <v>26</v>
      </c>
      <c r="C38" s="3" t="s">
        <v>26</v>
      </c>
      <c r="D38" s="3" t="s">
        <v>26</v>
      </c>
      <c r="E38" s="3" t="s">
        <v>26</v>
      </c>
      <c r="F38" s="3" t="s">
        <v>26</v>
      </c>
      <c r="G38" s="3" t="s">
        <v>26</v>
      </c>
      <c r="H38" s="3" t="s">
        <v>26</v>
      </c>
      <c r="I38" s="3" t="s">
        <v>26</v>
      </c>
      <c r="J38" s="3">
        <f>=IF($I38="","",IFS($I38="询盘",10%,$I38="报价中",30%,$I38="样品中",50%,$I38="谈判中",75%,$I38="已成交",100%,$I38="已流失",0%))</f>
      </c>
      <c r="K38" s="3" t="s">
        <v>26</v>
      </c>
      <c r="L38" s="3" t="s">
        <v>26</v>
      </c>
      <c r="M38" s="3">
        <f>=IF($A38="","",IF($L38="","",IF($L38&lt;TODAY(),"🔴 已逾期"&amp;(TODAY()-$L38)&amp;"天",IF($L38=TODAY(),"🟡 今天要跟","🟢 还剩"&amp;($L38-TODAY())&amp;"天"))))</f>
      </c>
      <c r="N38" s="3" t="s">
        <v>26</v>
      </c>
      <c r="O38" s="3" t="s">
        <v>26</v>
      </c>
    </row>
    <row r="39" ht="22" customHeight="1" spans="1:15" x14ac:dyDescent="0.25">
      <c r="A39" s="3" t="s">
        <v>26</v>
      </c>
      <c r="B39" s="3" t="s">
        <v>26</v>
      </c>
      <c r="C39" s="3" t="s">
        <v>26</v>
      </c>
      <c r="D39" s="3" t="s">
        <v>26</v>
      </c>
      <c r="E39" s="3" t="s">
        <v>26</v>
      </c>
      <c r="F39" s="3" t="s">
        <v>26</v>
      </c>
      <c r="G39" s="3" t="s">
        <v>26</v>
      </c>
      <c r="H39" s="3" t="s">
        <v>26</v>
      </c>
      <c r="I39" s="3" t="s">
        <v>26</v>
      </c>
      <c r="J39" s="3">
        <f>=IF($I39="","",IFS($I39="询盘",10%,$I39="报价中",30%,$I39="样品中",50%,$I39="谈判中",75%,$I39="已成交",100%,$I39="已流失",0%))</f>
      </c>
      <c r="K39" s="3" t="s">
        <v>26</v>
      </c>
      <c r="L39" s="3" t="s">
        <v>26</v>
      </c>
      <c r="M39" s="3">
        <f>=IF($A39="","",IF($L39="","",IF($L39&lt;TODAY(),"🔴 已逾期"&amp;(TODAY()-$L39)&amp;"天",IF($L39=TODAY(),"🟡 今天要跟","🟢 还剩"&amp;($L39-TODAY())&amp;"天"))))</f>
      </c>
      <c r="N39" s="3" t="s">
        <v>26</v>
      </c>
      <c r="O39" s="3" t="s">
        <v>26</v>
      </c>
    </row>
    <row r="40" ht="22" customHeight="1" spans="1:15" x14ac:dyDescent="0.25">
      <c r="A40" s="3" t="s">
        <v>26</v>
      </c>
      <c r="B40" s="3" t="s">
        <v>26</v>
      </c>
      <c r="C40" s="3" t="s">
        <v>26</v>
      </c>
      <c r="D40" s="3" t="s">
        <v>26</v>
      </c>
      <c r="E40" s="3" t="s">
        <v>26</v>
      </c>
      <c r="F40" s="3" t="s">
        <v>26</v>
      </c>
      <c r="G40" s="3" t="s">
        <v>26</v>
      </c>
      <c r="H40" s="3" t="s">
        <v>26</v>
      </c>
      <c r="I40" s="3" t="s">
        <v>26</v>
      </c>
      <c r="J40" s="3">
        <f>=IF($I40="","",IFS($I40="询盘",10%,$I40="报价中",30%,$I40="样品中",50%,$I40="谈判中",75%,$I40="已成交",100%,$I40="已流失",0%))</f>
      </c>
      <c r="K40" s="3" t="s">
        <v>26</v>
      </c>
      <c r="L40" s="3" t="s">
        <v>26</v>
      </c>
      <c r="M40" s="3">
        <f>=IF($A40="","",IF($L40="","",IF($L40&lt;TODAY(),"🔴 已逾期"&amp;(TODAY()-$L40)&amp;"天",IF($L40=TODAY(),"🟡 今天要跟","🟢 还剩"&amp;($L40-TODAY())&amp;"天"))))</f>
      </c>
      <c r="N40" s="3" t="s">
        <v>26</v>
      </c>
      <c r="O40" s="3" t="s">
        <v>26</v>
      </c>
    </row>
    <row r="41" ht="22" customHeight="1" spans="1:15" x14ac:dyDescent="0.25">
      <c r="A41" s="3" t="s">
        <v>26</v>
      </c>
      <c r="B41" s="3" t="s">
        <v>26</v>
      </c>
      <c r="C41" s="3" t="s">
        <v>26</v>
      </c>
      <c r="D41" s="3" t="s">
        <v>26</v>
      </c>
      <c r="E41" s="3" t="s">
        <v>26</v>
      </c>
      <c r="F41" s="3" t="s">
        <v>26</v>
      </c>
      <c r="G41" s="3" t="s">
        <v>26</v>
      </c>
      <c r="H41" s="3" t="s">
        <v>26</v>
      </c>
      <c r="I41" s="3" t="s">
        <v>26</v>
      </c>
      <c r="J41" s="3">
        <f>=IF($I41="","",IFS($I41="询盘",10%,$I41="报价中",30%,$I41="样品中",50%,$I41="谈判中",75%,$I41="已成交",100%,$I41="已流失",0%))</f>
      </c>
      <c r="K41" s="3" t="s">
        <v>26</v>
      </c>
      <c r="L41" s="3" t="s">
        <v>26</v>
      </c>
      <c r="M41" s="3">
        <f>=IF($A41="","",IF($L41="","",IF($L41&lt;TODAY(),"🔴 已逾期"&amp;(TODAY()-$L41)&amp;"天",IF($L41=TODAY(),"🟡 今天要跟","🟢 还剩"&amp;($L41-TODAY())&amp;"天"))))</f>
      </c>
      <c r="N41" s="3" t="s">
        <v>26</v>
      </c>
      <c r="O41" s="3" t="s">
        <v>26</v>
      </c>
    </row>
    <row r="42" ht="22" customHeight="1" spans="1:15" x14ac:dyDescent="0.25">
      <c r="A42" s="3" t="s">
        <v>26</v>
      </c>
      <c r="B42" s="3" t="s">
        <v>26</v>
      </c>
      <c r="C42" s="3" t="s">
        <v>26</v>
      </c>
      <c r="D42" s="3" t="s">
        <v>26</v>
      </c>
      <c r="E42" s="3" t="s">
        <v>26</v>
      </c>
      <c r="F42" s="3" t="s">
        <v>26</v>
      </c>
      <c r="G42" s="3" t="s">
        <v>26</v>
      </c>
      <c r="H42" s="3" t="s">
        <v>26</v>
      </c>
      <c r="I42" s="3" t="s">
        <v>26</v>
      </c>
      <c r="J42" s="3">
        <f>=IF($I42="","",IFS($I42="询盘",10%,$I42="报价中",30%,$I42="样品中",50%,$I42="谈判中",75%,$I42="已成交",100%,$I42="已流失",0%))</f>
      </c>
      <c r="K42" s="3" t="s">
        <v>26</v>
      </c>
      <c r="L42" s="3" t="s">
        <v>26</v>
      </c>
      <c r="M42" s="3">
        <f>=IF($A42="","",IF($L42="","",IF($L42&lt;TODAY(),"🔴 已逾期"&amp;(TODAY()-$L42)&amp;"天",IF($L42=TODAY(),"🟡 今天要跟","🟢 还剩"&amp;($L42-TODAY())&amp;"天"))))</f>
      </c>
      <c r="N42" s="3" t="s">
        <v>26</v>
      </c>
      <c r="O42" s="3" t="s">
        <v>26</v>
      </c>
    </row>
    <row r="43" ht="22" customHeight="1" spans="1:15" x14ac:dyDescent="0.25">
      <c r="A43" s="3" t="s">
        <v>26</v>
      </c>
      <c r="B43" s="3" t="s">
        <v>26</v>
      </c>
      <c r="C43" s="3" t="s">
        <v>26</v>
      </c>
      <c r="D43" s="3" t="s">
        <v>26</v>
      </c>
      <c r="E43" s="3" t="s">
        <v>26</v>
      </c>
      <c r="F43" s="3" t="s">
        <v>26</v>
      </c>
      <c r="G43" s="3" t="s">
        <v>26</v>
      </c>
      <c r="H43" s="3" t="s">
        <v>26</v>
      </c>
      <c r="I43" s="3" t="s">
        <v>26</v>
      </c>
      <c r="J43" s="3">
        <f>=IF($I43="","",IFS($I43="询盘",10%,$I43="报价中",30%,$I43="样品中",50%,$I43="谈判中",75%,$I43="已成交",100%,$I43="已流失",0%))</f>
      </c>
      <c r="K43" s="3" t="s">
        <v>26</v>
      </c>
      <c r="L43" s="3" t="s">
        <v>26</v>
      </c>
      <c r="M43" s="3">
        <f>=IF($A43="","",IF($L43="","",IF($L43&lt;TODAY(),"🔴 已逾期"&amp;(TODAY()-$L43)&amp;"天",IF($L43=TODAY(),"🟡 今天要跟","🟢 还剩"&amp;($L43-TODAY())&amp;"天"))))</f>
      </c>
      <c r="N43" s="3" t="s">
        <v>26</v>
      </c>
      <c r="O43" s="3" t="s">
        <v>26</v>
      </c>
    </row>
    <row r="44" ht="22" customHeight="1" spans="1:15" x14ac:dyDescent="0.25">
      <c r="A44" s="3" t="s">
        <v>26</v>
      </c>
      <c r="B44" s="3" t="s">
        <v>26</v>
      </c>
      <c r="C44" s="3" t="s">
        <v>26</v>
      </c>
      <c r="D44" s="3" t="s">
        <v>26</v>
      </c>
      <c r="E44" s="3" t="s">
        <v>26</v>
      </c>
      <c r="F44" s="3" t="s">
        <v>26</v>
      </c>
      <c r="G44" s="3" t="s">
        <v>26</v>
      </c>
      <c r="H44" s="3" t="s">
        <v>26</v>
      </c>
      <c r="I44" s="3" t="s">
        <v>26</v>
      </c>
      <c r="J44" s="3">
        <f>=IF($I44="","",IFS($I44="询盘",10%,$I44="报价中",30%,$I44="样品中",50%,$I44="谈判中",75%,$I44="已成交",100%,$I44="已流失",0%))</f>
      </c>
      <c r="K44" s="3" t="s">
        <v>26</v>
      </c>
      <c r="L44" s="3" t="s">
        <v>26</v>
      </c>
      <c r="M44" s="3">
        <f>=IF($A44="","",IF($L44="","",IF($L44&lt;TODAY(),"🔴 已逾期"&amp;(TODAY()-$L44)&amp;"天",IF($L44=TODAY(),"🟡 今天要跟","🟢 还剩"&amp;($L44-TODAY())&amp;"天"))))</f>
      </c>
      <c r="N44" s="3" t="s">
        <v>26</v>
      </c>
      <c r="O44" s="3" t="s">
        <v>26</v>
      </c>
    </row>
    <row r="45" ht="22" customHeight="1" spans="1:15" x14ac:dyDescent="0.25">
      <c r="A45" s="3" t="s">
        <v>26</v>
      </c>
      <c r="B45" s="3" t="s">
        <v>26</v>
      </c>
      <c r="C45" s="3" t="s">
        <v>26</v>
      </c>
      <c r="D45" s="3" t="s">
        <v>26</v>
      </c>
      <c r="E45" s="3" t="s">
        <v>26</v>
      </c>
      <c r="F45" s="3" t="s">
        <v>26</v>
      </c>
      <c r="G45" s="3" t="s">
        <v>26</v>
      </c>
      <c r="H45" s="3" t="s">
        <v>26</v>
      </c>
      <c r="I45" s="3" t="s">
        <v>26</v>
      </c>
      <c r="J45" s="3">
        <f>=IF($I45="","",IFS($I45="询盘",10%,$I45="报价中",30%,$I45="样品中",50%,$I45="谈判中",75%,$I45="已成交",100%,$I45="已流失",0%))</f>
      </c>
      <c r="K45" s="3" t="s">
        <v>26</v>
      </c>
      <c r="L45" s="3" t="s">
        <v>26</v>
      </c>
      <c r="M45" s="3">
        <f>=IF($A45="","",IF($L45="","",IF($L45&lt;TODAY(),"🔴 已逾期"&amp;(TODAY()-$L45)&amp;"天",IF($L45=TODAY(),"🟡 今天要跟","🟢 还剩"&amp;($L45-TODAY())&amp;"天"))))</f>
      </c>
      <c r="N45" s="3" t="s">
        <v>26</v>
      </c>
      <c r="O45" s="3" t="s">
        <v>26</v>
      </c>
    </row>
    <row r="46" ht="22" customHeight="1" spans="1:15" x14ac:dyDescent="0.25">
      <c r="A46" s="3" t="s">
        <v>26</v>
      </c>
      <c r="B46" s="3" t="s">
        <v>26</v>
      </c>
      <c r="C46" s="3" t="s">
        <v>26</v>
      </c>
      <c r="D46" s="3" t="s">
        <v>26</v>
      </c>
      <c r="E46" s="3" t="s">
        <v>26</v>
      </c>
      <c r="F46" s="3" t="s">
        <v>26</v>
      </c>
      <c r="G46" s="3" t="s">
        <v>26</v>
      </c>
      <c r="H46" s="3" t="s">
        <v>26</v>
      </c>
      <c r="I46" s="3" t="s">
        <v>26</v>
      </c>
      <c r="J46" s="3">
        <f>=IF($I46="","",IFS($I46="询盘",10%,$I46="报价中",30%,$I46="样品中",50%,$I46="谈判中",75%,$I46="已成交",100%,$I46="已流失",0%))</f>
      </c>
      <c r="K46" s="3" t="s">
        <v>26</v>
      </c>
      <c r="L46" s="3" t="s">
        <v>26</v>
      </c>
      <c r="M46" s="3">
        <f>=IF($A46="","",IF($L46="","",IF($L46&lt;TODAY(),"🔴 已逾期"&amp;(TODAY()-$L46)&amp;"天",IF($L46=TODAY(),"🟡 今天要跟","🟢 还剩"&amp;($L46-TODAY())&amp;"天"))))</f>
      </c>
      <c r="N46" s="3" t="s">
        <v>26</v>
      </c>
      <c r="O46" s="3" t="s">
        <v>26</v>
      </c>
    </row>
    <row r="47" ht="22" customHeight="1" spans="1:15" x14ac:dyDescent="0.25">
      <c r="A47" s="3" t="s">
        <v>26</v>
      </c>
      <c r="B47" s="3" t="s">
        <v>26</v>
      </c>
      <c r="C47" s="3" t="s">
        <v>26</v>
      </c>
      <c r="D47" s="3" t="s">
        <v>26</v>
      </c>
      <c r="E47" s="3" t="s">
        <v>26</v>
      </c>
      <c r="F47" s="3" t="s">
        <v>26</v>
      </c>
      <c r="G47" s="3" t="s">
        <v>26</v>
      </c>
      <c r="H47" s="3" t="s">
        <v>26</v>
      </c>
      <c r="I47" s="3" t="s">
        <v>26</v>
      </c>
      <c r="J47" s="3">
        <f>=IF($I47="","",IFS($I47="询盘",10%,$I47="报价中",30%,$I47="样品中",50%,$I47="谈判中",75%,$I47="已成交",100%,$I47="已流失",0%))</f>
      </c>
      <c r="K47" s="3" t="s">
        <v>26</v>
      </c>
      <c r="L47" s="3" t="s">
        <v>26</v>
      </c>
      <c r="M47" s="3">
        <f>=IF($A47="","",IF($L47="","",IF($L47&lt;TODAY(),"🔴 已逾期"&amp;(TODAY()-$L47)&amp;"天",IF($L47=TODAY(),"🟡 今天要跟","🟢 还剩"&amp;($L47-TODAY())&amp;"天"))))</f>
      </c>
      <c r="N47" s="3" t="s">
        <v>26</v>
      </c>
      <c r="O47" s="3" t="s">
        <v>26</v>
      </c>
    </row>
    <row r="48" ht="22" customHeight="1" spans="1:15" x14ac:dyDescent="0.25">
      <c r="A48" s="3" t="s">
        <v>26</v>
      </c>
      <c r="B48" s="3" t="s">
        <v>26</v>
      </c>
      <c r="C48" s="3" t="s">
        <v>26</v>
      </c>
      <c r="D48" s="3" t="s">
        <v>26</v>
      </c>
      <c r="E48" s="3" t="s">
        <v>26</v>
      </c>
      <c r="F48" s="3" t="s">
        <v>26</v>
      </c>
      <c r="G48" s="3" t="s">
        <v>26</v>
      </c>
      <c r="H48" s="3" t="s">
        <v>26</v>
      </c>
      <c r="I48" s="3" t="s">
        <v>26</v>
      </c>
      <c r="J48" s="3">
        <f>=IF($I48="","",IFS($I48="询盘",10%,$I48="报价中",30%,$I48="样品中",50%,$I48="谈判中",75%,$I48="已成交",100%,$I48="已流失",0%))</f>
      </c>
      <c r="K48" s="3" t="s">
        <v>26</v>
      </c>
      <c r="L48" s="3" t="s">
        <v>26</v>
      </c>
      <c r="M48" s="3">
        <f>=IF($A48="","",IF($L48="","",IF($L48&lt;TODAY(),"🔴 已逾期"&amp;(TODAY()-$L48)&amp;"天",IF($L48=TODAY(),"🟡 今天要跟","🟢 还剩"&amp;($L48-TODAY())&amp;"天"))))</f>
      </c>
      <c r="N48" s="3" t="s">
        <v>26</v>
      </c>
      <c r="O48" s="3" t="s">
        <v>26</v>
      </c>
    </row>
    <row r="49" ht="22" customHeight="1" spans="1:15" x14ac:dyDescent="0.25">
      <c r="A49" s="3" t="s">
        <v>26</v>
      </c>
      <c r="B49" s="3" t="s">
        <v>26</v>
      </c>
      <c r="C49" s="3" t="s">
        <v>26</v>
      </c>
      <c r="D49" s="3" t="s">
        <v>26</v>
      </c>
      <c r="E49" s="3" t="s">
        <v>26</v>
      </c>
      <c r="F49" s="3" t="s">
        <v>26</v>
      </c>
      <c r="G49" s="3" t="s">
        <v>26</v>
      </c>
      <c r="H49" s="3" t="s">
        <v>26</v>
      </c>
      <c r="I49" s="3" t="s">
        <v>26</v>
      </c>
      <c r="J49" s="3">
        <f>=IF($I49="","",IFS($I49="询盘",10%,$I49="报价中",30%,$I49="样品中",50%,$I49="谈判中",75%,$I49="已成交",100%,$I49="已流失",0%))</f>
      </c>
      <c r="K49" s="3" t="s">
        <v>26</v>
      </c>
      <c r="L49" s="3" t="s">
        <v>26</v>
      </c>
      <c r="M49" s="3">
        <f>=IF($A49="","",IF($L49="","",IF($L49&lt;TODAY(),"🔴 已逾期"&amp;(TODAY()-$L49)&amp;"天",IF($L49=TODAY(),"🟡 今天要跟","🟢 还剩"&amp;($L49-TODAY())&amp;"天"))))</f>
      </c>
      <c r="N49" s="3" t="s">
        <v>26</v>
      </c>
      <c r="O49" s="3" t="s">
        <v>26</v>
      </c>
    </row>
    <row r="50" ht="22" customHeight="1" spans="1:15" x14ac:dyDescent="0.25">
      <c r="A50" s="3" t="s">
        <v>26</v>
      </c>
      <c r="B50" s="3" t="s">
        <v>26</v>
      </c>
      <c r="C50" s="3" t="s">
        <v>26</v>
      </c>
      <c r="D50" s="3" t="s">
        <v>26</v>
      </c>
      <c r="E50" s="3" t="s">
        <v>26</v>
      </c>
      <c r="F50" s="3" t="s">
        <v>26</v>
      </c>
      <c r="G50" s="3" t="s">
        <v>26</v>
      </c>
      <c r="H50" s="3" t="s">
        <v>26</v>
      </c>
      <c r="I50" s="3" t="s">
        <v>26</v>
      </c>
      <c r="J50" s="3">
        <f>=IF($I50="","",IFS($I50="询盘",10%,$I50="报价中",30%,$I50="样品中",50%,$I50="谈判中",75%,$I50="已成交",100%,$I50="已流失",0%))</f>
      </c>
      <c r="K50" s="3" t="s">
        <v>26</v>
      </c>
      <c r="L50" s="3" t="s">
        <v>26</v>
      </c>
      <c r="M50" s="3">
        <f>=IF($A50="","",IF($L50="","",IF($L50&lt;TODAY(),"🔴 已逾期"&amp;(TODAY()-$L50)&amp;"天",IF($L50=TODAY(),"🟡 今天要跟","🟢 还剩"&amp;($L50-TODAY())&amp;"天"))))</f>
      </c>
      <c r="N50" s="3" t="s">
        <v>26</v>
      </c>
      <c r="O50" s="3" t="s">
        <v>26</v>
      </c>
    </row>
    <row r="51" ht="22" customHeight="1" spans="1:15" x14ac:dyDescent="0.25">
      <c r="A51" s="3" t="s">
        <v>26</v>
      </c>
      <c r="B51" s="3" t="s">
        <v>26</v>
      </c>
      <c r="C51" s="3" t="s">
        <v>26</v>
      </c>
      <c r="D51" s="3" t="s">
        <v>26</v>
      </c>
      <c r="E51" s="3" t="s">
        <v>26</v>
      </c>
      <c r="F51" s="3" t="s">
        <v>26</v>
      </c>
      <c r="G51" s="3" t="s">
        <v>26</v>
      </c>
      <c r="H51" s="3" t="s">
        <v>26</v>
      </c>
      <c r="I51" s="3" t="s">
        <v>26</v>
      </c>
      <c r="J51" s="3">
        <f>=IF($I51="","",IFS($I51="询盘",10%,$I51="报价中",30%,$I51="样品中",50%,$I51="谈判中",75%,$I51="已成交",100%,$I51="已流失",0%))</f>
      </c>
      <c r="K51" s="3" t="s">
        <v>26</v>
      </c>
      <c r="L51" s="3" t="s">
        <v>26</v>
      </c>
      <c r="M51" s="3">
        <f>=IF($A51="","",IF($L51="","",IF($L51&lt;TODAY(),"🔴 已逾期"&amp;(TODAY()-$L51)&amp;"天",IF($L51=TODAY(),"🟡 今天要跟","🟢 还剩"&amp;($L51-TODAY())&amp;"天"))))</f>
      </c>
      <c r="N51" s="3" t="s">
        <v>26</v>
      </c>
      <c r="O51" s="3" t="s">
        <v>26</v>
      </c>
    </row>
    <row r="52" ht="22" customHeight="1" spans="1:15" x14ac:dyDescent="0.25">
      <c r="A52" s="3" t="s">
        <v>26</v>
      </c>
      <c r="B52" s="3" t="s">
        <v>26</v>
      </c>
      <c r="C52" s="3" t="s">
        <v>26</v>
      </c>
      <c r="D52" s="3" t="s">
        <v>26</v>
      </c>
      <c r="E52" s="3" t="s">
        <v>26</v>
      </c>
      <c r="F52" s="3" t="s">
        <v>26</v>
      </c>
      <c r="G52" s="3" t="s">
        <v>26</v>
      </c>
      <c r="H52" s="3" t="s">
        <v>26</v>
      </c>
      <c r="I52" s="3" t="s">
        <v>26</v>
      </c>
      <c r="J52" s="3">
        <f>=IF($I52="","",IFS($I52="询盘",10%,$I52="报价中",30%,$I52="样品中",50%,$I52="谈判中",75%,$I52="已成交",100%,$I52="已流失",0%))</f>
      </c>
      <c r="K52" s="3" t="s">
        <v>26</v>
      </c>
      <c r="L52" s="3" t="s">
        <v>26</v>
      </c>
      <c r="M52" s="3">
        <f>=IF($A52="","",IF($L52="","",IF($L52&lt;TODAY(),"🔴 已逾期"&amp;(TODAY()-$L52)&amp;"天",IF($L52=TODAY(),"🟡 今天要跟","🟢 还剩"&amp;($L52-TODAY())&amp;"天"))))</f>
      </c>
      <c r="N52" s="3" t="s">
        <v>26</v>
      </c>
      <c r="O52" s="3" t="s">
        <v>26</v>
      </c>
    </row>
  </sheetData>
  <mergeCells count="1">
    <mergeCell ref="A1:O1"/>
  </mergeCells>
  <conditionalFormatting sqref="J3:J52">
    <cfRule type="dataBar" priority="1">
      <dataBar>
        <cfvo type="num" val="0"/>
        <cfvo type="num" val="1"/>
        <color rgb="FFD4B876"/>
      </dataBar>
      <extLst>
        <ext xmlns:x14="http://schemas.microsoft.com/office/spreadsheetml/2009/9/main" uri="{B025F937-C7B1-47D3-B67F-A62EFF666E3E}">
          <x14:id>{D05E306C-AFD1-4450-A507-EF2CDC197ADA}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5E306C-AFD1-4450-A507-EF2CDC197ADA}">
            <x14:dataBar minLength="0" maxLength="100">
              <x14:cfvo type="num">
                <xm:f>0</xm:f>
              </x14:cfvo>
              <x14:cfvo type="num">
                <xm:f>1</xm:f>
              </x14:cfvo>
            </x14:dataBar>
          </x14:cfRule>
          <xm:sqref>J3:J52</xm:sqref>
        </x14:conditionalFormatting>
      </x14:conditionalFormattings>
    </ext>
  </extLst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sheetData>
    <row r="1" ht="24" customHeight="1" spans="1:5" x14ac:dyDescent="0.25">
      <c r="A1" s="4" t="s">
        <v>47</v>
      </c>
      <c r="B1" s="4"/>
      <c r="C1" s="4"/>
      <c r="D1" s="4"/>
      <c r="E1" s="4"/>
    </row>
    <row r="3" spans="1:5" x14ac:dyDescent="0.25">
      <c r="A3" s="5" t="s">
        <v>48</v>
      </c>
      <c r="B3" s="5" t="s">
        <v>4</v>
      </c>
      <c r="C3" s="5" t="s">
        <v>49</v>
      </c>
      <c r="D3" s="5" t="s">
        <v>50</v>
      </c>
      <c r="E3" s="5" t="s">
        <v>14</v>
      </c>
    </row>
    <row r="4" spans="1:5" x14ac:dyDescent="0.25">
      <c r="A4" s="6">
        <v>1</v>
      </c>
      <c r="B4" s="6" t="s">
        <v>19</v>
      </c>
      <c r="C4" s="6">
        <f>=COUNTIF(询盘CRM!$D$3:$D$52,"United States")</f>
      </c>
      <c r="D4" s="6">
        <f>=COUNTIFS(询盘CRM!$D$3:$D$52,"United States",询盘CRM!$I$3:$I$52,"已成交")</f>
      </c>
      <c r="E4" s="6">
        <f>=SUMIFS(询盘CRM!$N$3:$N$52,询盘CRM!$D$3:$D$52,"United States")</f>
      </c>
    </row>
    <row r="5" spans="1:5" x14ac:dyDescent="0.25">
      <c r="A5" s="6">
        <v>2</v>
      </c>
      <c r="B5" s="6" t="s">
        <v>51</v>
      </c>
      <c r="C5" s="6">
        <f>=COUNTIF(询盘CRM!$D$3:$D$52,"Australia")</f>
      </c>
      <c r="D5" s="6">
        <f>=COUNTIFS(询盘CRM!$D$3:$D$52,"Australia",询盘CRM!$I$3:$I$52,"已成交")</f>
      </c>
      <c r="E5" s="6">
        <f>=SUMIFS(询盘CRM!$N$3:$N$52,询盘CRM!$D$3:$D$52,"Australia")</f>
      </c>
    </row>
    <row r="6" spans="1:5" x14ac:dyDescent="0.25">
      <c r="A6" s="6">
        <v>3</v>
      </c>
      <c r="B6" s="6" t="s">
        <v>52</v>
      </c>
      <c r="C6" s="6">
        <f>=COUNTIF(询盘CRM!$D$3:$D$52,"Canada")</f>
      </c>
      <c r="D6" s="6">
        <f>=COUNTIFS(询盘CRM!$D$3:$D$52,"Canada",询盘CRM!$I$3:$I$52,"已成交")</f>
      </c>
      <c r="E6" s="6">
        <f>=SUMIFS(询盘CRM!$N$3:$N$52,询盘CRM!$D$3:$D$52,"Canada")</f>
      </c>
    </row>
    <row r="7" spans="1:5" x14ac:dyDescent="0.25">
      <c r="A7" s="6">
        <v>4</v>
      </c>
      <c r="B7" s="6" t="s">
        <v>53</v>
      </c>
      <c r="C7" s="6">
        <f>=COUNTIF(询盘CRM!$D$3:$D$52,"United Kingdom")</f>
      </c>
      <c r="D7" s="6">
        <f>=COUNTIFS(询盘CRM!$D$3:$D$52,"United Kingdom",询盘CRM!$I$3:$I$52,"已成交")</f>
      </c>
      <c r="E7" s="6">
        <f>=SUMIFS(询盘CRM!$N$3:$N$52,询盘CRM!$D$3:$D$52,"United Kingdom")</f>
      </c>
    </row>
    <row r="8" spans="1:5" x14ac:dyDescent="0.25">
      <c r="A8" s="6">
        <v>5</v>
      </c>
      <c r="B8" s="6" t="s">
        <v>40</v>
      </c>
      <c r="C8" s="6">
        <f>=COUNTIF(询盘CRM!$D$3:$D$52,"Germany")</f>
      </c>
      <c r="D8" s="6">
        <f>=COUNTIFS(询盘CRM!$D$3:$D$52,"Germany",询盘CRM!$I$3:$I$52,"已成交")</f>
      </c>
      <c r="E8" s="6">
        <f>=SUMIFS(询盘CRM!$N$3:$N$52,询盘CRM!$D$3:$D$52,"Germany")</f>
      </c>
    </row>
    <row r="9" spans="1:5" x14ac:dyDescent="0.25">
      <c r="A9" s="6">
        <v>6</v>
      </c>
      <c r="B9" s="6" t="s">
        <v>30</v>
      </c>
      <c r="C9" s="6">
        <f>=COUNTIF(询盘CRM!$D$3:$D$52,"UAE")</f>
      </c>
      <c r="D9" s="6">
        <f>=COUNTIFS(询盘CRM!$D$3:$D$52,"UAE",询盘CRM!$I$3:$I$52,"已成交")</f>
      </c>
      <c r="E9" s="6">
        <f>=SUMIFS(询盘CRM!$N$3:$N$52,询盘CRM!$D$3:$D$52,"UAE")</f>
      </c>
    </row>
    <row r="10" spans="1:5" x14ac:dyDescent="0.25">
      <c r="A10" s="6">
        <v>7</v>
      </c>
      <c r="B10" s="6" t="s">
        <v>54</v>
      </c>
      <c r="C10" s="6">
        <f>=COUNTIF(询盘CRM!$D$3:$D$52,"Saudi Arabia")</f>
      </c>
      <c r="D10" s="6">
        <f>=COUNTIFS(询盘CRM!$D$3:$D$52,"Saudi Arabia",询盘CRM!$I$3:$I$52,"已成交")</f>
      </c>
      <c r="E10" s="6">
        <f>=SUMIFS(询盘CRM!$N$3:$N$52,询盘CRM!$D$3:$D$52,"Saudi Arabia")</f>
      </c>
    </row>
    <row r="11" spans="1:5" x14ac:dyDescent="0.25">
      <c r="A11" s="6">
        <v>8</v>
      </c>
      <c r="B11" s="6" t="s">
        <v>55</v>
      </c>
      <c r="C11" s="6">
        <f>=COUNTIF(询盘CRM!$D$3:$D$52,"France")</f>
      </c>
      <c r="D11" s="6">
        <f>=COUNTIFS(询盘CRM!$D$3:$D$52,"France",询盘CRM!$I$3:$I$52,"已成交")</f>
      </c>
      <c r="E11" s="6">
        <f>=SUMIFS(询盘CRM!$N$3:$N$52,询盘CRM!$D$3:$D$52,"France")</f>
      </c>
    </row>
    <row r="12" spans="1:5" x14ac:dyDescent="0.25">
      <c r="A12" s="6">
        <v>9</v>
      </c>
      <c r="B12" s="6" t="s">
        <v>56</v>
      </c>
      <c r="C12" s="6">
        <f>=COUNTIF(询盘CRM!$D$3:$D$52,"Italy")</f>
      </c>
      <c r="D12" s="6">
        <f>=COUNTIFS(询盘CRM!$D$3:$D$52,"Italy",询盘CRM!$I$3:$I$52,"已成交")</f>
      </c>
      <c r="E12" s="6">
        <f>=SUMIFS(询盘CRM!$N$3:$N$52,询盘CRM!$D$3:$D$52,"Italy")</f>
      </c>
    </row>
    <row r="13" spans="1:5" x14ac:dyDescent="0.25">
      <c r="A13" s="6">
        <v>10</v>
      </c>
      <c r="B13" s="6" t="s">
        <v>57</v>
      </c>
      <c r="C13" s="6">
        <f>=COUNTIF(询盘CRM!$D$3:$D$52,"Spain")</f>
      </c>
      <c r="D13" s="6">
        <f>=COUNTIFS(询盘CRM!$D$3:$D$52,"Spain",询盘CRM!$I$3:$I$52,"已成交")</f>
      </c>
      <c r="E13" s="6">
        <f>=SUMIFS(询盘CRM!$N$3:$N$52,询盘CRM!$D$3:$D$52,"Spain")</f>
      </c>
    </row>
    <row r="14" spans="1:5" x14ac:dyDescent="0.25">
      <c r="A14" s="6">
        <v>11</v>
      </c>
      <c r="B14" s="6" t="s">
        <v>58</v>
      </c>
      <c r="C14" s="6">
        <f>=COUNTIF(询盘CRM!$D$3:$D$52,"Mexico")</f>
      </c>
      <c r="D14" s="6">
        <f>=COUNTIFS(询盘CRM!$D$3:$D$52,"Mexico",询盘CRM!$I$3:$I$52,"已成交")</f>
      </c>
      <c r="E14" s="6">
        <f>=SUMIFS(询盘CRM!$N$3:$N$52,询盘CRM!$D$3:$D$52,"Mexico")</f>
      </c>
    </row>
    <row r="15" spans="1:5" x14ac:dyDescent="0.25">
      <c r="A15" s="6">
        <v>12</v>
      </c>
      <c r="B15" s="6" t="s">
        <v>59</v>
      </c>
      <c r="C15" s="6">
        <f>=COUNTIF(询盘CRM!$D$3:$D$52,"Other")</f>
      </c>
      <c r="D15" s="6">
        <f>=COUNTIFS(询盘CRM!$D$3:$D$52,"Other",询盘CRM!$I$3:$I$52,"已成交")</f>
      </c>
      <c r="E15" s="6">
        <f>=SUMIFS(询盘CRM!$N$3:$N$52,询盘CRM!$D$3:$D$52,"Other")</f>
      </c>
    </row>
    <row r="17" spans="1:1" x14ac:dyDescent="0.25">
      <c r="A17" s="7" t="s">
        <v>60</v>
      </c>
    </row>
    <row r="18" spans="1:1" x14ac:dyDescent="0.25">
      <c r="A18" t="s">
        <v>61</v>
      </c>
    </row>
    <row r="19" spans="1:1" x14ac:dyDescent="0.25">
      <c r="A19" t="s">
        <v>62</v>
      </c>
    </row>
    <row r="20" spans="1:1" x14ac:dyDescent="0.25">
      <c r="A20" t="s">
        <v>63</v>
      </c>
    </row>
    <row r="21" spans="1:1" x14ac:dyDescent="0.25">
      <c r="A21" t="s">
        <v>64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sheetData>
    <row r="1" ht="24" customHeight="1" spans="1:5" x14ac:dyDescent="0.25">
      <c r="A1" s="4" t="s">
        <v>65</v>
      </c>
      <c r="B1" s="4"/>
      <c r="C1" s="4"/>
      <c r="D1" s="4"/>
      <c r="E1" s="4"/>
    </row>
    <row r="3" spans="1:5" x14ac:dyDescent="0.25">
      <c r="A3" s="5" t="s">
        <v>66</v>
      </c>
      <c r="B3" s="5" t="s">
        <v>49</v>
      </c>
      <c r="C3" s="5" t="s">
        <v>67</v>
      </c>
      <c r="D3" s="5" t="s">
        <v>50</v>
      </c>
      <c r="E3" s="5" t="s">
        <v>68</v>
      </c>
    </row>
    <row r="4" spans="1:5" x14ac:dyDescent="0.25">
      <c r="A4" s="6" t="s">
        <v>20</v>
      </c>
      <c r="B4" s="6">
        <f>=COUNTIF(询盘CRM!$E$3:$E$52,"Importer")</f>
      </c>
      <c r="C4" s="8">
        <f>=IF(B4=0,0,B4/SUM($B$4:$B$9))</f>
      </c>
      <c r="D4" s="6">
        <f>=COUNTIFS(询盘CRM!$E$3:$E$52,"Importer",询盘CRM!$I$3:$I$52,"已成交")</f>
      </c>
      <c r="E4" s="8">
        <f>=IF(B4=0,0,D4/B4)</f>
      </c>
    </row>
    <row r="5" spans="1:5" x14ac:dyDescent="0.25">
      <c r="A5" s="6" t="s">
        <v>31</v>
      </c>
      <c r="B5" s="6">
        <f>=COUNTIF(询盘CRM!$E$3:$E$52,"Contractor")</f>
      </c>
      <c r="C5" s="8">
        <f>=IF(B5=0,0,B5/SUM($B$4:$B$9))</f>
      </c>
      <c r="D5" s="6">
        <f>=COUNTIFS(询盘CRM!$E$3:$E$52,"Contractor",询盘CRM!$I$3:$I$52,"已成交")</f>
      </c>
      <c r="E5" s="8">
        <f>=IF(B5=0,0,D5/B5)</f>
      </c>
    </row>
    <row r="6" spans="1:5" x14ac:dyDescent="0.25">
      <c r="A6" s="6" t="s">
        <v>41</v>
      </c>
      <c r="B6" s="6">
        <f>=COUNTIF(询盘CRM!$E$3:$E$52,"Distributor")</f>
      </c>
      <c r="C6" s="8">
        <f>=IF(B6=0,0,B6/SUM($B$4:$B$9))</f>
      </c>
      <c r="D6" s="6">
        <f>=COUNTIFS(询盘CRM!$E$3:$E$52,"Distributor",询盘CRM!$I$3:$I$52,"已成交")</f>
      </c>
      <c r="E6" s="8">
        <f>=IF(B6=0,0,D6/B6)</f>
      </c>
    </row>
    <row r="7" spans="1:5" x14ac:dyDescent="0.25">
      <c r="A7" s="6" t="s">
        <v>69</v>
      </c>
      <c r="B7" s="6">
        <f>=COUNTIF(询盘CRM!$E$3:$E$52,"Designer")</f>
      </c>
      <c r="C7" s="8">
        <f>=IF(B7=0,0,B7/SUM($B$4:$B$9))</f>
      </c>
      <c r="D7" s="6">
        <f>=COUNTIFS(询盘CRM!$E$3:$E$52,"Designer",询盘CRM!$I$3:$I$52,"已成交")</f>
      </c>
      <c r="E7" s="8">
        <f>=IF(B7=0,0,D7/B7)</f>
      </c>
    </row>
    <row r="8" spans="1:5" x14ac:dyDescent="0.25">
      <c r="A8" s="6" t="s">
        <v>70</v>
      </c>
      <c r="B8" s="6">
        <f>=COUNTIF(询盘CRM!$E$3:$E$52,"Architect")</f>
      </c>
      <c r="C8" s="8">
        <f>=IF(B8=0,0,B8/SUM($B$4:$B$9))</f>
      </c>
      <c r="D8" s="6">
        <f>=COUNTIFS(询盘CRM!$E$3:$E$52,"Architect",询盘CRM!$I$3:$I$52,"已成交")</f>
      </c>
      <c r="E8" s="8">
        <f>=IF(B8=0,0,D8/B8)</f>
      </c>
    </row>
    <row r="9" spans="1:5" x14ac:dyDescent="0.25">
      <c r="A9" s="6" t="s">
        <v>59</v>
      </c>
      <c r="B9" s="6">
        <f>=COUNTIF(询盘CRM!$E$3:$E$52,"Other")</f>
      </c>
      <c r="C9" s="8">
        <f>=IF(B9=0,0,B9/SUM($B$4:$B$9))</f>
      </c>
      <c r="D9" s="6">
        <f>=COUNTIFS(询盘CRM!$E$3:$E$52,"Other",询盘CRM!$I$3:$I$52,"已成交")</f>
      </c>
      <c r="E9" s="8">
        <f>=IF(B9=0,0,D9/B9)</f>
      </c>
    </row>
    <row r="11" spans="1:1" x14ac:dyDescent="0.25">
      <c r="A11" t="s">
        <v>71</v>
      </c>
    </row>
    <row r="12" spans="1:1" x14ac:dyDescent="0.25">
      <c r="A12" t="s">
        <v>72</v>
      </c>
    </row>
    <row r="13" spans="1:1" x14ac:dyDescent="0.25">
      <c r="A13" t="s">
        <v>73</v>
      </c>
    </row>
    <row r="14" spans="1:1" x14ac:dyDescent="0.25">
      <c r="A14" t="s">
        <v>74</v>
      </c>
    </row>
    <row r="15" spans="1:1" x14ac:dyDescent="0.25">
      <c r="A15" t="s">
        <v>75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sheetData>
    <row r="1" ht="24" customHeight="1" spans="1:6" x14ac:dyDescent="0.25">
      <c r="A1" s="4" t="s">
        <v>76</v>
      </c>
      <c r="B1" s="4"/>
      <c r="C1" s="4"/>
      <c r="D1" s="4"/>
      <c r="E1" s="4"/>
      <c r="F1" s="4"/>
    </row>
    <row r="3" spans="1:6" x14ac:dyDescent="0.25">
      <c r="A3" s="5" t="s">
        <v>6</v>
      </c>
      <c r="B3" s="5" t="s">
        <v>49</v>
      </c>
      <c r="C3" s="5" t="s">
        <v>67</v>
      </c>
      <c r="D3" s="5" t="s">
        <v>50</v>
      </c>
      <c r="E3" s="5" t="s">
        <v>77</v>
      </c>
      <c r="F3" s="5" t="s">
        <v>78</v>
      </c>
    </row>
    <row r="4" spans="1:6" x14ac:dyDescent="0.25">
      <c r="A4" s="9" t="s">
        <v>32</v>
      </c>
      <c r="B4" s="9">
        <f>=COUNTIF(询盘CRM!$F$3:$F$52,"Flexible Stone")</f>
      </c>
      <c r="C4" s="10">
        <f>=IF(B4=0,0,B4/SUM($B$4:$B$7))</f>
      </c>
      <c r="D4" s="9">
        <f>=COUNTIFS(询盘CRM!$F$3:$F$52,"Flexible Stone",询盘CRM!$I$3:$I$52,"已成交")</f>
      </c>
      <c r="E4" s="9">
        <f>=SUMIFS(询盘CRM!$N$3:$N$52,询盘CRM!$F$3:$F$52,"Flexible Stone")</f>
      </c>
      <c r="F4" s="9" t="s">
        <v>79</v>
      </c>
    </row>
    <row r="5" spans="1:6" x14ac:dyDescent="0.25">
      <c r="A5" s="9" t="s">
        <v>80</v>
      </c>
      <c r="B5" s="9">
        <f>=COUNTIF(询盘CRM!$F$3:$F$52,"Soft Ceramic")</f>
      </c>
      <c r="C5" s="10">
        <f>=IF(B5=0,0,B5/SUM($B$4:$B$7))</f>
      </c>
      <c r="D5" s="9">
        <f>=COUNTIFS(询盘CRM!$F$3:$F$52,"Soft Ceramic",询盘CRM!$I$3:$I$52,"已成交")</f>
      </c>
      <c r="E5" s="9">
        <f>=SUMIFS(询盘CRM!$N$3:$N$52,询盘CRM!$F$3:$F$52,"Soft Ceramic")</f>
      </c>
      <c r="F5" s="9" t="s">
        <v>81</v>
      </c>
    </row>
    <row r="6" spans="1:6" x14ac:dyDescent="0.25">
      <c r="A6" s="9" t="s">
        <v>21</v>
      </c>
      <c r="B6" s="9">
        <f>=COUNTIF(询盘CRM!$F$3:$F$52,"Sintered Stone")</f>
      </c>
      <c r="C6" s="10">
        <f>=IF(B6=0,0,B6/SUM($B$4:$B$7))</f>
      </c>
      <c r="D6" s="9">
        <f>=COUNTIFS(询盘CRM!$F$3:$F$52,"Sintered Stone",询盘CRM!$I$3:$I$52,"已成交")</f>
      </c>
      <c r="E6" s="9">
        <f>=SUMIFS(询盘CRM!$N$3:$N$52,询盘CRM!$F$3:$F$52,"Sintered Stone")</f>
      </c>
      <c r="F6" s="9" t="s">
        <v>82</v>
      </c>
    </row>
    <row r="7" spans="1:6" x14ac:dyDescent="0.25">
      <c r="A7" s="9" t="s">
        <v>42</v>
      </c>
      <c r="B7" s="9">
        <f>=COUNTIF(询盘CRM!$F$3:$F$52,"Porcelain Slab")</f>
      </c>
      <c r="C7" s="10">
        <f>=IF(B7=0,0,B7/SUM($B$4:$B$7))</f>
      </c>
      <c r="D7" s="9">
        <f>=COUNTIFS(询盘CRM!$F$3:$F$52,"Porcelain Slab",询盘CRM!$I$3:$I$52,"已成交")</f>
      </c>
      <c r="E7" s="9">
        <f>=SUMIFS(询盘CRM!$N$3:$N$52,询盘CRM!$F$3:$F$52,"Porcelain Slab")</f>
      </c>
      <c r="F7" s="9" t="s">
        <v>83</v>
      </c>
    </row>
    <row r="9" spans="1:1" x14ac:dyDescent="0.25">
      <c r="A9" s="7" t="s">
        <v>84</v>
      </c>
    </row>
    <row r="10" spans="1:6" x14ac:dyDescent="0.25">
      <c r="A10" s="5" t="s">
        <v>85</v>
      </c>
      <c r="B10" s="5" t="s">
        <v>32</v>
      </c>
      <c r="C10" s="5" t="s">
        <v>80</v>
      </c>
      <c r="D10" s="5" t="s">
        <v>21</v>
      </c>
      <c r="E10" s="5" t="s">
        <v>42</v>
      </c>
      <c r="F10" s="5" t="s">
        <v>86</v>
      </c>
    </row>
    <row r="11" spans="1:6" x14ac:dyDescent="0.25">
      <c r="A11" s="6" t="s">
        <v>87</v>
      </c>
      <c r="B11" s="6" t="s">
        <v>26</v>
      </c>
      <c r="C11" s="6" t="s">
        <v>26</v>
      </c>
      <c r="D11" s="6" t="s">
        <v>26</v>
      </c>
      <c r="E11" s="6" t="s">
        <v>26</v>
      </c>
      <c r="F11" s="6">
        <f>=SUM(B11:E{r})</f>
      </c>
    </row>
    <row r="12" spans="1:6" x14ac:dyDescent="0.25">
      <c r="A12" s="6" t="s">
        <v>88</v>
      </c>
      <c r="B12" s="6" t="s">
        <v>26</v>
      </c>
      <c r="C12" s="6" t="s">
        <v>26</v>
      </c>
      <c r="D12" s="6" t="s">
        <v>26</v>
      </c>
      <c r="E12" s="6" t="s">
        <v>26</v>
      </c>
      <c r="F12" s="6">
        <f>=SUM(B12:E{r})</f>
      </c>
    </row>
    <row r="13" spans="1:6" x14ac:dyDescent="0.25">
      <c r="A13" s="6" t="s">
        <v>89</v>
      </c>
      <c r="B13" s="6" t="s">
        <v>26</v>
      </c>
      <c r="C13" s="6" t="s">
        <v>26</v>
      </c>
      <c r="D13" s="6" t="s">
        <v>26</v>
      </c>
      <c r="E13" s="6" t="s">
        <v>26</v>
      </c>
      <c r="F13" s="6">
        <f>=SUM(B13:E{r})</f>
      </c>
    </row>
    <row r="14" spans="1:6" x14ac:dyDescent="0.25">
      <c r="A14" s="6" t="s">
        <v>90</v>
      </c>
      <c r="B14" s="6" t="s">
        <v>26</v>
      </c>
      <c r="C14" s="6" t="s">
        <v>26</v>
      </c>
      <c r="D14" s="6" t="s">
        <v>26</v>
      </c>
      <c r="E14" s="6" t="s">
        <v>26</v>
      </c>
      <c r="F14" s="6">
        <f>=SUM(B14:E{r})</f>
      </c>
    </row>
    <row r="15" spans="1:6" x14ac:dyDescent="0.25">
      <c r="A15" s="6" t="s">
        <v>91</v>
      </c>
      <c r="B15" s="6" t="s">
        <v>26</v>
      </c>
      <c r="C15" s="6" t="s">
        <v>26</v>
      </c>
      <c r="D15" s="6" t="s">
        <v>26</v>
      </c>
      <c r="E15" s="6" t="s">
        <v>26</v>
      </c>
      <c r="F15" s="6">
        <f>=SUM(B15:E{r})</f>
      </c>
    </row>
    <row r="16" spans="1:6" x14ac:dyDescent="0.25">
      <c r="A16" s="6" t="s">
        <v>92</v>
      </c>
      <c r="B16" s="6" t="s">
        <v>26</v>
      </c>
      <c r="C16" s="6" t="s">
        <v>26</v>
      </c>
      <c r="D16" s="6" t="s">
        <v>26</v>
      </c>
      <c r="E16" s="6" t="s">
        <v>26</v>
      </c>
      <c r="F16" s="6">
        <f>=SUM(B16:E{r})</f>
      </c>
    </row>
    <row r="17" spans="1:6" x14ac:dyDescent="0.25">
      <c r="A17" s="6" t="s">
        <v>93</v>
      </c>
      <c r="B17" s="6" t="s">
        <v>26</v>
      </c>
      <c r="C17" s="6" t="s">
        <v>26</v>
      </c>
      <c r="D17" s="6" t="s">
        <v>26</v>
      </c>
      <c r="E17" s="6" t="s">
        <v>26</v>
      </c>
      <c r="F17" s="6">
        <f>=SUM(B17:E{r})</f>
      </c>
    </row>
    <row r="19" spans="1:1" x14ac:dyDescent="0.25">
      <c r="A19" t="s">
        <v>94</v>
      </c>
    </row>
    <row r="20" spans="1:1" x14ac:dyDescent="0.25">
      <c r="A20" t="s">
        <v>95</v>
      </c>
    </row>
    <row r="21" spans="1:1" x14ac:dyDescent="0.25">
      <c r="A21" t="s">
        <v>96</v>
      </c>
    </row>
    <row r="22" spans="1:1" x14ac:dyDescent="0.25">
      <c r="A22" t="s">
        <v>97</v>
      </c>
    </row>
    <row r="23" spans="1:1" x14ac:dyDescent="0.25">
      <c r="A23" t="s">
        <v>98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sheetData>
    <row r="1" ht="24" customHeight="1" spans="1:5" x14ac:dyDescent="0.25">
      <c r="A1" s="4" t="s">
        <v>99</v>
      </c>
      <c r="B1" s="4"/>
      <c r="C1" s="4"/>
      <c r="D1" s="4"/>
      <c r="E1" s="4"/>
    </row>
    <row r="3" spans="1:5" x14ac:dyDescent="0.25">
      <c r="A3" s="5" t="s">
        <v>100</v>
      </c>
      <c r="B3" s="5" t="s">
        <v>101</v>
      </c>
      <c r="C3" s="5" t="s">
        <v>102</v>
      </c>
      <c r="D3" s="5" t="s">
        <v>103</v>
      </c>
      <c r="E3" s="5" t="s">
        <v>104</v>
      </c>
    </row>
    <row r="4" spans="1:5" x14ac:dyDescent="0.25">
      <c r="A4" s="11" t="s">
        <v>105</v>
      </c>
      <c r="B4" s="6">
        <f>=COUNTA(询盘CRM!$A$3:$A$52)</f>
      </c>
      <c r="C4" s="11" t="s">
        <v>26</v>
      </c>
      <c r="D4" s="11" t="s">
        <v>26</v>
      </c>
      <c r="E4" s="12" t="s">
        <v>106</v>
      </c>
    </row>
    <row r="5" spans="1:5" x14ac:dyDescent="0.25">
      <c r="A5" s="11" t="s">
        <v>107</v>
      </c>
      <c r="B5" s="6">
        <f>=COUNTIF(询盘CRM!$I$3:$I$52,"报价中")+COUNTIF(询盘CRM!$I$3:$I$52,"样品中")+COUNTIF(询盘CRM!$I$3:$I$52,"谈判中")+COUNTIF(询盘CRM!$I$3:$I$52,"已成交")</f>
      </c>
      <c r="C5" s="13">
        <f>=IF($B$4=0,0,B5/$B$4)</f>
      </c>
      <c r="D5" s="13">
        <f>=IF(B4=0,0,B5/B4)</f>
      </c>
      <c r="E5" s="12" t="s">
        <v>108</v>
      </c>
    </row>
    <row r="6" spans="1:5" x14ac:dyDescent="0.25">
      <c r="A6" s="11" t="s">
        <v>109</v>
      </c>
      <c r="B6" s="6">
        <f>=COUNTIF(询盘CRM!$I$3:$I$52,"样品中")+COUNTIF(询盘CRM!$I$3:$I$52,"谈判中")+COUNTIF(询盘CRM!$I$3:$I$52,"已成交")</f>
      </c>
      <c r="C6" s="13">
        <f>=IF($B$4=0,0,B6/$B$4)</f>
      </c>
      <c r="D6" s="13">
        <f>=IF(B5=0,0,B6/B5)</f>
      </c>
      <c r="E6" s="12" t="s">
        <v>110</v>
      </c>
    </row>
    <row r="7" spans="1:5" x14ac:dyDescent="0.25">
      <c r="A7" s="11" t="s">
        <v>111</v>
      </c>
      <c r="B7" s="6">
        <f>=COUNTIF(询盘CRM!$I$3:$I$52,"谈判中")+COUNTIF(询盘CRM!$I$3:$I$52,"已成交")</f>
      </c>
      <c r="C7" s="13">
        <f>=IF($B$4=0,0,B7/$B$4)</f>
      </c>
      <c r="D7" s="13">
        <f>=IF(B6=0,0,B7/B6)</f>
      </c>
      <c r="E7" s="12" t="s">
        <v>112</v>
      </c>
    </row>
    <row r="8" spans="1:5" x14ac:dyDescent="0.25">
      <c r="A8" s="11" t="s">
        <v>113</v>
      </c>
      <c r="B8" s="6">
        <f>=COUNTIF(询盘CRM!$I$3:$I$52,"已成交")</f>
      </c>
      <c r="C8" s="13">
        <f>=IF($B$4=0,0,B8/$B$4)</f>
      </c>
      <c r="D8" s="13">
        <f>=IF(B7=0,0,B8/B7)</f>
      </c>
      <c r="E8" s="12" t="s">
        <v>114</v>
      </c>
    </row>
    <row r="10" spans="1:1" x14ac:dyDescent="0.25">
      <c r="A10" s="7" t="s">
        <v>115</v>
      </c>
    </row>
    <row r="11" spans="1:1" x14ac:dyDescent="0.25">
      <c r="A11" t="s">
        <v>116</v>
      </c>
    </row>
    <row r="12" spans="1:1" x14ac:dyDescent="0.25">
      <c r="A12" t="s">
        <v>117</v>
      </c>
    </row>
    <row r="13" spans="1:1" x14ac:dyDescent="0.25">
      <c r="A13" t="s">
        <v>118</v>
      </c>
    </row>
    <row r="15" spans="1:1" x14ac:dyDescent="0.25">
      <c r="A15" t="s">
        <v>119</v>
      </c>
    </row>
    <row r="16" spans="1:1" x14ac:dyDescent="0.25">
      <c r="A16" t="s">
        <v>120</v>
      </c>
    </row>
    <row r="17" spans="1:1" x14ac:dyDescent="0.25">
      <c r="A17" t="s">
        <v>121</v>
      </c>
    </row>
    <row r="19" spans="1:1" x14ac:dyDescent="0.25">
      <c r="A19" t="s">
        <v>122</v>
      </c>
    </row>
    <row r="20" spans="1:1" x14ac:dyDescent="0.25">
      <c r="A20" t="s">
        <v>123</v>
      </c>
    </row>
    <row r="21" spans="1:1" x14ac:dyDescent="0.25">
      <c r="A21" t="s">
        <v>124</v>
      </c>
    </row>
    <row r="23" spans="1:1" x14ac:dyDescent="0.25">
      <c r="A23" t="s">
        <v>125</v>
      </c>
    </row>
    <row r="24" spans="1:1" x14ac:dyDescent="0.25">
      <c r="A24" t="s">
        <v>126</v>
      </c>
    </row>
    <row r="25" spans="1:1" x14ac:dyDescent="0.25">
      <c r="A25" t="s">
        <v>127</v>
      </c>
    </row>
    <row r="27" spans="1:1" x14ac:dyDescent="0.25">
      <c r="A27" t="s">
        <v>128</v>
      </c>
    </row>
    <row r="28" spans="1:1" x14ac:dyDescent="0.25">
      <c r="A28" t="s">
        <v>129</v>
      </c>
    </row>
    <row r="29" spans="1:1" x14ac:dyDescent="0.25">
      <c r="A29" t="s">
        <v>130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询盘CRM</vt:lpstr>
      <vt:lpstr>国家分析</vt:lpstr>
      <vt:lpstr>客户类型分析</vt:lpstr>
      <vt:lpstr>产品线分析</vt:lpstr>
      <vt:lpstr>转化漏斗分析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Wharton Ceramics 运营</dc:creator>
  <dc:title/>
  <dc:subject/>
  <dc:description/>
  <cp:keywords/>
  <cp:category/>
  <cp:lastModifiedBy>Unknown</cp:lastModifiedBy>
  <dcterms:created xsi:type="dcterms:W3CDTF">2026-07-05T09:47:18Z</dcterms:created>
  <dcterms:modified xsi:type="dcterms:W3CDTF">2026-07-05T09:47:18Z</dcterms:modified>
</cp:coreProperties>
</file>