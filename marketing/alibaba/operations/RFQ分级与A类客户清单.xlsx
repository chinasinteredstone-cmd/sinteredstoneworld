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FQ分级表" state="visible" r:id="rId4"/>
    <sheet sheetId="2" name="分级标准与评分规则" state="visible" r:id="rId5"/>
    <sheet sheetId="3" name="A类客户清单" state="visible" r:id="rId6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G2" authorId="0">
      <text>
        <r>
          <t>客户写了具体规格/尺寸/花色→1</t>
        </r>
      </text>
    </comment>
    <comment ref="H2" authorId="0">
      <text>
        <r>
          <t>提到具体数量/面积→1</t>
        </r>
      </text>
    </comment>
    <comment ref="I2" authorId="0">
      <text>
        <r>
          <t>提到具体项目名/类型/地点→1</t>
        </r>
      </text>
    </comment>
    <comment ref="O2" authorId="0">
      <text>
        <r>
          <t>命中意向词数(order/project/quote/sample等)</t>
        </r>
      </text>
    </comment>
  </commentList>
</comments>
</file>

<file path=xl/sharedStrings.xml><?xml version="1.0" encoding="utf-8"?>
<sst xmlns="http://schemas.openxmlformats.org/spreadsheetml/2006/main" count="822" uniqueCount="120">
  <si>
    <t/>
  </si>
  <si>
    <t>═══ 客户基本信息 ═══</t>
  </si>
  <si>
    <t>═══ 意向打分（按0/1填，详见Sheet2）═══</t>
  </si>
  <si>
    <t>═══ 系统自动计算（勿改）═══</t>
  </si>
  <si>
    <t>RFQ编号</t>
  </si>
  <si>
    <t>询盘日期</t>
  </si>
  <si>
    <t>客户公司</t>
  </si>
  <si>
    <t>国家</t>
  </si>
  <si>
    <t>客户类型</t>
  </si>
  <si>
    <t>产品线</t>
  </si>
  <si>
    <t>规格明确(0/1)</t>
  </si>
  <si>
    <t>数量明确(0/1)</t>
  </si>
  <si>
    <t>提及项目(0/1)</t>
  </si>
  <si>
    <t>问价格(0/1)</t>
  </si>
  <si>
    <t>问样品(0/1)</t>
  </si>
  <si>
    <t>问交期(0/1)</t>
  </si>
  <si>
    <t>询盘字数</t>
  </si>
  <si>
    <t>24h内回复(0/1)</t>
  </si>
  <si>
    <t>意向关键词</t>
  </si>
  <si>
    <t>总分(自动)</t>
  </si>
  <si>
    <t>建议等级(自动)</t>
  </si>
  <si>
    <t>跟进动作(自动)</t>
  </si>
  <si>
    <t>RFQ-001</t>
  </si>
  <si>
    <t>2026-07-01</t>
  </si>
  <si>
    <t>ABC Trading</t>
  </si>
  <si>
    <t>United States</t>
  </si>
  <si>
    <t>Importer</t>
  </si>
  <si>
    <t>Sintered Stone</t>
  </si>
  <si>
    <t>RFQ-002</t>
  </si>
  <si>
    <t>2026-07-02</t>
  </si>
  <si>
    <t>XYZ Construction</t>
  </si>
  <si>
    <t>Australia</t>
  </si>
  <si>
    <t>Contractor</t>
  </si>
  <si>
    <t>Flexible Stone</t>
  </si>
  <si>
    <t>RFQ-003</t>
  </si>
  <si>
    <t>2026-07-03</t>
  </si>
  <si>
    <t>QWE Distributor</t>
  </si>
  <si>
    <t>Germany</t>
  </si>
  <si>
    <t>Distributor</t>
  </si>
  <si>
    <t>Porcelain Slab</t>
  </si>
  <si>
    <t>RFQ-004</t>
  </si>
  <si>
    <t>个体买家</t>
  </si>
  <si>
    <t>United Kingdom</t>
  </si>
  <si>
    <t>Designer</t>
  </si>
  <si>
    <t>Soft Ceramic</t>
  </si>
  <si>
    <t>RFQ-005</t>
  </si>
  <si>
    <t>2026-07-04</t>
  </si>
  <si>
    <t>HD Hotel Group</t>
  </si>
  <si>
    <t>UAE</t>
  </si>
  <si>
    <t>═══ RFQ 分级总分计算 ═══</t>
  </si>
  <si>
    <t>评分维度</t>
  </si>
  <si>
    <t>打分规则</t>
  </si>
  <si>
    <t>规格明确 (G列)</t>
  </si>
  <si>
    <t>客户写了具体规格/尺寸/花色 → 1，否则 0（权重15分）</t>
  </si>
  <si>
    <t>数量明确 (H列)</t>
  </si>
  <si>
    <t>提到具体数量或面积（如500m²/2柜） → 1（权重15分）</t>
  </si>
  <si>
    <t>提及项目 (I列)</t>
  </si>
  <si>
    <t>提到具体项目名/类型/地点（如Dubai酒店） → 1（权重15分）</t>
  </si>
  <si>
    <t>问价格 (J列)</t>
  </si>
  <si>
    <t>明确问price/quote/如何定价 → 1（权重10分）</t>
  </si>
  <si>
    <t>问样品 (K列)</t>
  </si>
  <si>
    <t>明确要sample/样品 → 1（权重10分，强意向信号）</t>
  </si>
  <si>
    <t>问交期 (L列)</t>
  </si>
  <si>
    <t>问delivery/lead time/何时到 → 1（权重5分）</t>
  </si>
  <si>
    <t>询盘字数 (M列)</t>
  </si>
  <si>
    <t>≥80词=10分，40-79词=5分，&lt;40词=0分</t>
  </si>
  <si>
    <t>24h内回复 (N列)</t>
  </si>
  <si>
    <t>你24小时内回了客户→1（权重10分，说明你重视）</t>
  </si>
  <si>
    <t>意向关键词 (O列)</t>
  </si>
  <si>
    <t>命中order/project/quote/sample/Payment/MOQ/规格/项目等，每个5分，封顶10分</t>
  </si>
  <si>
    <t>═══ 等级划分（总分自动判级）═══</t>
  </si>
  <si>
    <t>A级 高意向</t>
  </si>
  <si>
    <t>总分 ≥ 70 → 24小时内必须回复，1对1人工跟</t>
  </si>
  <si>
    <t>B级 潜在</t>
  </si>
  <si>
    <t>总分 40-69 → 3天内跟进1次，发差异化卖点</t>
  </si>
  <si>
    <t>C级 低意向</t>
  </si>
  <si>
    <t>总分 &lt; 40 → 进培育池，每月群发1次内容</t>
  </si>
  <si>
    <t>═══ A类客户的"硬指标"（满足任2条即A）═══</t>
  </si>
  <si>
    <t>硬指标1</t>
  </si>
  <si>
    <t>明确数量 ≥ 200m² 或 ≥ 1柜</t>
  </si>
  <si>
    <t>硬指标2</t>
  </si>
  <si>
    <t>提到具体项目（地点/类型/时间）</t>
  </si>
  <si>
    <t>硬指标3</t>
  </si>
  <si>
    <t>问样品 + 问价格</t>
  </si>
  <si>
    <t>硬指标4</t>
  </si>
  <si>
    <t>询盘字数 &gt; 80词 且 24h内互动</t>
  </si>
  <si>
    <t>═══ 使用方法 ═══</t>
  </si>
  <si>
    <t>步骤1</t>
  </si>
  <si>
    <t>从阿里后台 → 询盘管理 → 导出近7天询盘</t>
  </si>
  <si>
    <t>步骤2</t>
  </si>
  <si>
    <t>把询盘信息填入"RFQ分级表"的A-O列</t>
  </si>
  <si>
    <t>步骤3</t>
  </si>
  <si>
    <t>P/Q/R列自动算总分、等级、跟进动作</t>
  </si>
  <si>
    <t>步骤4</t>
  </si>
  <si>
    <t>筛"建议等级"列=A类 → 优先处理</t>
  </si>
  <si>
    <t>步骤5</t>
  </si>
  <si>
    <t>用"02-客户分级跟进话术库"的对应话术跟进</t>
  </si>
  <si>
    <t>日期</t>
  </si>
  <si>
    <t>公司</t>
  </si>
  <si>
    <t>类型</t>
  </si>
  <si>
    <t>总分</t>
  </si>
  <si>
    <t>等级</t>
  </si>
  <si>
    <t>方法1</t>
  </si>
  <si>
    <t>到"RFQ分级表"，点Q列(建议等级)的筛选按钮，勾选"A类 高意向"</t>
  </si>
  <si>
    <t>方法2</t>
  </si>
  <si>
    <t>复制筛选出的A类行，粘贴到下方表格</t>
  </si>
  <si>
    <t>方法3</t>
  </si>
  <si>
    <t>或按住Ctrl+F搜"A类"</t>
  </si>
  <si>
    <t>═══ A类客户处理SOP ═══</t>
  </si>
  <si>
    <t>1</t>
  </si>
  <si>
    <t>识别A级后，立刻在"RFQ分级表"标记跟进日期</t>
  </si>
  <si>
    <t>2</t>
  </si>
  <si>
    <t>查阅"02-客户分级跟进话术库"，选对应产品线+场景的话术</t>
  </si>
  <si>
    <t>3</t>
  </si>
  <si>
    <t>24小时内人工个性化回复（不要群发感）</t>
  </si>
  <si>
    <t>4</t>
  </si>
  <si>
    <t>回复后第2天若没回，用A类场景6话术（黄金48h）</t>
  </si>
  <si>
    <t>5</t>
  </si>
  <si>
    <t>客户回复后立即记入"询盘CRM表"，进入成交跟踪</t>
  </si>
  <si>
    <t>═══ A类客户清单（粘贴此处）═══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</si>
</sst>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1A1A1A"/>
      <sz val="10"/>
    </font>
    <font>
      <b/>
      <color rgb="FFD4B876"/>
      <sz val="10"/>
    </font>
    <font>
      <sz val="10"/>
    </font>
    <font>
      <b/>
      <color rgb="FFD4B876"/>
      <sz val="12"/>
    </font>
    <font>
      <b/>
    </font>
    <font>
      <b/>
      <color rgb="FFD4B876"/>
    </font>
  </fonts>
  <fills count="4">
    <fill>
      <patternFill patternType="none"/>
    </fill>
    <fill>
      <patternFill patternType="gray125"/>
    </fill>
    <fill>
      <patternFill patternType="solid">
        <fgColor rgb="FFD4B876"/>
      </patternFill>
    </fill>
    <fill>
      <patternFill patternType="solid">
        <fgColor rgb="FF1A1A1A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3" borderId="0" xfId="0" applyFont="1" applyFill="1" applyAlignment="1">
      <alignment vertical="top" wrapText="1"/>
    </xf>
    <xf numFmtId="0" fontId="5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6" fillId="3" borderId="0" xfId="0" applyFont="1" applyFill="1" applyAlignment="1">
      <alignment horizontal="center"/>
    </xf>
    <xf numFmtId="0" fontId="6" fillId="0" borderId="0" xfId="0" applyFont="1"/>
  </cellXfs>
  <cellStyles count="1">
    <cellStyle name="Normal" xfId="0" builtinId="0"/>
  </cellStyles>
  <dxfs count="3">
    <dxf>
      <font>
        <b/>
        <color rgb="FFFFFFFF"/>
      </font>
      <fill>
        <patternFill patternType="solid">
          <fgColor rgb="FFE74C3C"/>
        </patternFill>
      </fill>
    </dxf>
    <dxf>
      <font>
        <b/>
        <color rgb="FFFFFFFF"/>
      </font>
      <fill>
        <patternFill patternType="solid">
          <fgColor rgb="FFF39C12"/>
        </patternFill>
      </fill>
    </dxf>
    <dxf>
      <font>
        <b/>
        <color rgb="FFFFFFFF"/>
      </font>
      <fill>
        <patternFill patternType="solid">
          <fgColor rgb="FF95A5A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sheetData>
    <row r="1" ht="22" customHeight="1" spans="1:18" x14ac:dyDescent="0.25">
      <c r="A1" s="1" t="s">
        <v>0</v>
      </c>
      <c r="B1" s="1" t="s">
        <v>0</v>
      </c>
      <c r="C1" s="1" t="s">
        <v>1</v>
      </c>
      <c r="D1" s="1"/>
      <c r="E1" s="1"/>
      <c r="F1" s="1"/>
      <c r="G1" s="1" t="s">
        <v>2</v>
      </c>
      <c r="H1" s="1"/>
      <c r="I1" s="1"/>
      <c r="J1" s="1"/>
      <c r="K1" s="1"/>
      <c r="L1" s="1"/>
      <c r="M1" s="1"/>
      <c r="N1" s="1"/>
      <c r="O1" s="1"/>
      <c r="P1" s="1" t="s">
        <v>3</v>
      </c>
      <c r="Q1" s="1"/>
      <c r="R1" s="1"/>
    </row>
    <row r="2" ht="28" customHeight="1" spans="1:18" x14ac:dyDescent="0.25">
      <c r="A2" s="2" t="s">
        <v>4</v>
      </c>
      <c r="B2" s="2" t="s">
        <v>5</v>
      </c>
      <c r="C2" s="2" t="s">
        <v>6</v>
      </c>
      <c r="D2" s="2" t="s">
        <v>7</v>
      </c>
      <c r="E2" s="2" t="s">
        <v>8</v>
      </c>
      <c r="F2" s="2" t="s">
        <v>9</v>
      </c>
      <c r="G2" s="2" t="s">
        <v>10</v>
      </c>
      <c r="H2" s="2" t="s">
        <v>11</v>
      </c>
      <c r="I2" s="2" t="s">
        <v>12</v>
      </c>
      <c r="J2" s="2" t="s">
        <v>13</v>
      </c>
      <c r="K2" s="2" t="s">
        <v>14</v>
      </c>
      <c r="L2" s="2" t="s">
        <v>15</v>
      </c>
      <c r="M2" s="2" t="s">
        <v>16</v>
      </c>
      <c r="N2" s="2" t="s">
        <v>17</v>
      </c>
      <c r="O2" s="2" t="s">
        <v>18</v>
      </c>
      <c r="P2" s="2" t="s">
        <v>19</v>
      </c>
      <c r="Q2" s="2" t="s">
        <v>20</v>
      </c>
      <c r="R2" s="2" t="s">
        <v>21</v>
      </c>
    </row>
    <row r="3" ht="22" customHeight="1" spans="1:18" x14ac:dyDescent="0.25">
      <c r="A3" s="3" t="s">
        <v>22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>
        <v>1</v>
      </c>
      <c r="H3" s="3">
        <v>1</v>
      </c>
      <c r="I3" s="3">
        <v>1</v>
      </c>
      <c r="J3" s="3">
        <v>1</v>
      </c>
      <c r="K3" s="3">
        <v>0</v>
      </c>
      <c r="L3" s="3">
        <v>1</v>
      </c>
      <c r="M3" s="3">
        <v>80</v>
      </c>
      <c r="N3" s="3">
        <v>1</v>
      </c>
      <c r="O3" s="3">
        <v>5</v>
      </c>
      <c r="P3" s="3">
        <f>=IF(A3="","",ROUND(G3*15 + H3*15 + I3*15 + J3*10 + K3*10 + L3*5 + IF(M3&gt;=80,10,IF(M3&gt;=40,5,0)) + N3*10 + MIN(O3*5, 10),0))</f>
      </c>
      <c r="Q3" s="3">
        <f>=IF(A3="","",IF(P3&gt;=70,"A类 高意向",IF(P3&gt;=40,"B类 潜在",IF(P3&gt;0,"C类 低意向",""))))</f>
      </c>
      <c r="R3" s="3">
        <f>=IF(A3="","",IF(P3&gt;=70,"24h内回复 + 1对1人工跟（话术见A类）",IF(P3&gt;=40,"3天内跟进1次（话术见B类）","进培育池，每月群发1次内容")))</f>
      </c>
    </row>
    <row r="4" ht="22" customHeight="1" spans="1:18" x14ac:dyDescent="0.25">
      <c r="A4" s="3" t="s">
        <v>28</v>
      </c>
      <c r="B4" s="3" t="s">
        <v>29</v>
      </c>
      <c r="C4" s="3" t="s">
        <v>30</v>
      </c>
      <c r="D4" s="3" t="s">
        <v>31</v>
      </c>
      <c r="E4" s="3" t="s">
        <v>32</v>
      </c>
      <c r="F4" s="3" t="s">
        <v>33</v>
      </c>
      <c r="G4" s="3">
        <v>1</v>
      </c>
      <c r="H4" s="3">
        <v>0</v>
      </c>
      <c r="I4" s="3">
        <v>1</v>
      </c>
      <c r="J4" s="3">
        <v>1</v>
      </c>
      <c r="K4" s="3">
        <v>1</v>
      </c>
      <c r="L4" s="3">
        <v>0</v>
      </c>
      <c r="M4" s="3">
        <v>60</v>
      </c>
      <c r="N4" s="3">
        <v>1</v>
      </c>
      <c r="O4" s="3">
        <v>4</v>
      </c>
      <c r="P4" s="3">
        <f>=IF(A4="","",ROUND(G4*15 + H4*15 + I4*15 + J4*10 + K4*10 + L4*5 + IF(M4&gt;=80,10,IF(M4&gt;=40,5,0)) + N4*10 + MIN(O4*5, 10),0))</f>
      </c>
      <c r="Q4" s="3">
        <f>=IF(A4="","",IF(P4&gt;=70,"A类 高意向",IF(P4&gt;=40,"B类 潜在",IF(P4&gt;0,"C类 低意向",""))))</f>
      </c>
      <c r="R4" s="3">
        <f>=IF(A4="","",IF(P4&gt;=70,"24h内回复 + 1对1人工跟（话术见A类）",IF(P4&gt;=40,"3天内跟进1次（话术见B类）","进培育池，每月群发1次内容")))</f>
      </c>
    </row>
    <row r="5" ht="22" customHeight="1" spans="1:18" x14ac:dyDescent="0.25">
      <c r="A5" s="3" t="s">
        <v>34</v>
      </c>
      <c r="B5" s="3" t="s">
        <v>35</v>
      </c>
      <c r="C5" s="3" t="s">
        <v>36</v>
      </c>
      <c r="D5" s="3" t="s">
        <v>37</v>
      </c>
      <c r="E5" s="3" t="s">
        <v>38</v>
      </c>
      <c r="F5" s="3" t="s">
        <v>39</v>
      </c>
      <c r="G5" s="3">
        <v>0</v>
      </c>
      <c r="H5" s="3">
        <v>1</v>
      </c>
      <c r="I5" s="3">
        <v>0</v>
      </c>
      <c r="J5" s="3">
        <v>1</v>
      </c>
      <c r="K5" s="3">
        <v>0</v>
      </c>
      <c r="L5" s="3">
        <v>0</v>
      </c>
      <c r="M5" s="3">
        <v>30</v>
      </c>
      <c r="N5" s="3">
        <v>0</v>
      </c>
      <c r="O5" s="3">
        <v>2</v>
      </c>
      <c r="P5" s="3">
        <f>=IF(A5="","",ROUND(G5*15 + H5*15 + I5*15 + J5*10 + K5*10 + L5*5 + IF(M5&gt;=80,10,IF(M5&gt;=40,5,0)) + N5*10 + MIN(O5*5, 10),0))</f>
      </c>
      <c r="Q5" s="3">
        <f>=IF(A5="","",IF(P5&gt;=70,"A类 高意向",IF(P5&gt;=40,"B类 潜在",IF(P5&gt;0,"C类 低意向",""))))</f>
      </c>
      <c r="R5" s="3">
        <f>=IF(A5="","",IF(P5&gt;=70,"24h内回复 + 1对1人工跟（话术见A类）",IF(P5&gt;=40,"3天内跟进1次（话术见B类）","进培育池，每月群发1次内容")))</f>
      </c>
    </row>
    <row r="6" ht="22" customHeight="1" spans="1:18" x14ac:dyDescent="0.25">
      <c r="A6" s="3" t="s">
        <v>40</v>
      </c>
      <c r="B6" s="3" t="s">
        <v>35</v>
      </c>
      <c r="C6" s="3" t="s">
        <v>41</v>
      </c>
      <c r="D6" s="3" t="s">
        <v>42</v>
      </c>
      <c r="E6" s="3" t="s">
        <v>43</v>
      </c>
      <c r="F6" s="3" t="s">
        <v>44</v>
      </c>
      <c r="G6" s="3">
        <v>0</v>
      </c>
      <c r="H6" s="3">
        <v>0</v>
      </c>
      <c r="I6" s="3">
        <v>0</v>
      </c>
      <c r="J6" s="3">
        <v>0</v>
      </c>
      <c r="K6" s="3">
        <v>1</v>
      </c>
      <c r="L6" s="3">
        <v>0</v>
      </c>
      <c r="M6" s="3">
        <v>20</v>
      </c>
      <c r="N6" s="3">
        <v>0</v>
      </c>
      <c r="O6" s="3">
        <v>1</v>
      </c>
      <c r="P6" s="3">
        <f>=IF(A6="","",ROUND(G6*15 + H6*15 + I6*15 + J6*10 + K6*10 + L6*5 + IF(M6&gt;=80,10,IF(M6&gt;=40,5,0)) + N6*10 + MIN(O6*5, 10),0))</f>
      </c>
      <c r="Q6" s="3">
        <f>=IF(A6="","",IF(P6&gt;=70,"A类 高意向",IF(P6&gt;=40,"B类 潜在",IF(P6&gt;0,"C类 低意向",""))))</f>
      </c>
      <c r="R6" s="3">
        <f>=IF(A6="","",IF(P6&gt;=70,"24h内回复 + 1对1人工跟（话术见A类）",IF(P6&gt;=40,"3天内跟进1次（话术见B类）","进培育池，每月群发1次内容")))</f>
      </c>
    </row>
    <row r="7" ht="22" customHeight="1" spans="1:18" x14ac:dyDescent="0.25">
      <c r="A7" s="3" t="s">
        <v>45</v>
      </c>
      <c r="B7" s="3" t="s">
        <v>46</v>
      </c>
      <c r="C7" s="3" t="s">
        <v>47</v>
      </c>
      <c r="D7" s="3" t="s">
        <v>48</v>
      </c>
      <c r="E7" s="3" t="s">
        <v>32</v>
      </c>
      <c r="F7" s="3" t="s">
        <v>27</v>
      </c>
      <c r="G7" s="3">
        <v>1</v>
      </c>
      <c r="H7" s="3">
        <v>1</v>
      </c>
      <c r="I7" s="3">
        <v>1</v>
      </c>
      <c r="J7" s="3">
        <v>1</v>
      </c>
      <c r="K7" s="3">
        <v>1</v>
      </c>
      <c r="L7" s="3">
        <v>1</v>
      </c>
      <c r="M7" s="3">
        <v>120</v>
      </c>
      <c r="N7" s="3">
        <v>1</v>
      </c>
      <c r="O7" s="3">
        <v>7</v>
      </c>
      <c r="P7" s="3">
        <f>=IF(A7="","",ROUND(G7*15 + H7*15 + I7*15 + J7*10 + K7*10 + L7*5 + IF(M7&gt;=80,10,IF(M7&gt;=40,5,0)) + N7*10 + MIN(O7*5, 10),0))</f>
      </c>
      <c r="Q7" s="3">
        <f>=IF(A7="","",IF(P7&gt;=70,"A类 高意向",IF(P7&gt;=40,"B类 潜在",IF(P7&gt;0,"C类 低意向",""))))</f>
      </c>
      <c r="R7" s="3">
        <f>=IF(A7="","",IF(P7&gt;=70,"24h内回复 + 1对1人工跟（话术见A类）",IF(P7&gt;=40,"3天内跟进1次（话术见B类）","进培育池，每月群发1次内容")))</f>
      </c>
    </row>
    <row r="8" ht="22" customHeight="1" spans="1:18" x14ac:dyDescent="0.25">
      <c r="A8" s="3" t="s">
        <v>0</v>
      </c>
      <c r="B8" s="3" t="s">
        <v>0</v>
      </c>
      <c r="C8" s="3" t="s">
        <v>0</v>
      </c>
      <c r="D8" s="3" t="s">
        <v>0</v>
      </c>
      <c r="E8" s="3" t="s">
        <v>0</v>
      </c>
      <c r="F8" s="3" t="s">
        <v>0</v>
      </c>
      <c r="G8" s="3" t="s">
        <v>0</v>
      </c>
      <c r="H8" s="3" t="s">
        <v>0</v>
      </c>
      <c r="I8" s="3" t="s">
        <v>0</v>
      </c>
      <c r="J8" s="3" t="s">
        <v>0</v>
      </c>
      <c r="K8" s="3" t="s">
        <v>0</v>
      </c>
      <c r="L8" s="3" t="s">
        <v>0</v>
      </c>
      <c r="M8" s="3" t="s">
        <v>0</v>
      </c>
      <c r="N8" s="3" t="s">
        <v>0</v>
      </c>
      <c r="O8" s="3" t="s">
        <v>0</v>
      </c>
      <c r="P8" s="3">
        <f>=IF(A8="","",ROUND(G8*15 + H8*15 + I8*15 + J8*10 + K8*10 + L8*5 + IF(M8&gt;=80,10,IF(M8&gt;=40,5,0)) + N8*10 + MIN(O8*5, 10),0))</f>
      </c>
      <c r="Q8" s="3">
        <f>=IF(A8="","",IF(P8&gt;=70,"A类 高意向",IF(P8&gt;=40,"B类 潜在",IF(P8&gt;0,"C类 低意向",""))))</f>
      </c>
      <c r="R8" s="3">
        <f>=IF(A8="","",IF(P8&gt;=70,"24h内回复 + 1对1人工跟（话术见A类）",IF(P8&gt;=40,"3天内跟进1次（话术见B类）","进培育池，每月群发1次内容")))</f>
      </c>
    </row>
    <row r="9" ht="22" customHeight="1" spans="1:18" x14ac:dyDescent="0.25">
      <c r="A9" s="3" t="s">
        <v>0</v>
      </c>
      <c r="B9" s="3" t="s">
        <v>0</v>
      </c>
      <c r="C9" s="3" t="s">
        <v>0</v>
      </c>
      <c r="D9" s="3" t="s">
        <v>0</v>
      </c>
      <c r="E9" s="3" t="s">
        <v>0</v>
      </c>
      <c r="F9" s="3" t="s">
        <v>0</v>
      </c>
      <c r="G9" s="3" t="s">
        <v>0</v>
      </c>
      <c r="H9" s="3" t="s">
        <v>0</v>
      </c>
      <c r="I9" s="3" t="s">
        <v>0</v>
      </c>
      <c r="J9" s="3" t="s">
        <v>0</v>
      </c>
      <c r="K9" s="3" t="s">
        <v>0</v>
      </c>
      <c r="L9" s="3" t="s">
        <v>0</v>
      </c>
      <c r="M9" s="3" t="s">
        <v>0</v>
      </c>
      <c r="N9" s="3" t="s">
        <v>0</v>
      </c>
      <c r="O9" s="3" t="s">
        <v>0</v>
      </c>
      <c r="P9" s="3">
        <f>=IF(A9="","",ROUND(G9*15 + H9*15 + I9*15 + J9*10 + K9*10 + L9*5 + IF(M9&gt;=80,10,IF(M9&gt;=40,5,0)) + N9*10 + MIN(O9*5, 10),0))</f>
      </c>
      <c r="Q9" s="3">
        <f>=IF(A9="","",IF(P9&gt;=70,"A类 高意向",IF(P9&gt;=40,"B类 潜在",IF(P9&gt;0,"C类 低意向",""))))</f>
      </c>
      <c r="R9" s="3">
        <f>=IF(A9="","",IF(P9&gt;=70,"24h内回复 + 1对1人工跟（话术见A类）",IF(P9&gt;=40,"3天内跟进1次（话术见B类）","进培育池，每月群发1次内容")))</f>
      </c>
    </row>
    <row r="10" ht="22" customHeight="1" spans="1:18" x14ac:dyDescent="0.25">
      <c r="A10" s="3" t="s">
        <v>0</v>
      </c>
      <c r="B10" s="3" t="s">
        <v>0</v>
      </c>
      <c r="C10" s="3" t="s">
        <v>0</v>
      </c>
      <c r="D10" s="3" t="s">
        <v>0</v>
      </c>
      <c r="E10" s="3" t="s">
        <v>0</v>
      </c>
      <c r="F10" s="3" t="s">
        <v>0</v>
      </c>
      <c r="G10" s="3" t="s">
        <v>0</v>
      </c>
      <c r="H10" s="3" t="s">
        <v>0</v>
      </c>
      <c r="I10" s="3" t="s">
        <v>0</v>
      </c>
      <c r="J10" s="3" t="s">
        <v>0</v>
      </c>
      <c r="K10" s="3" t="s">
        <v>0</v>
      </c>
      <c r="L10" s="3" t="s">
        <v>0</v>
      </c>
      <c r="M10" s="3" t="s">
        <v>0</v>
      </c>
      <c r="N10" s="3" t="s">
        <v>0</v>
      </c>
      <c r="O10" s="3" t="s">
        <v>0</v>
      </c>
      <c r="P10" s="3">
        <f>=IF(A10="","",ROUND(G10*15 + H10*15 + I10*15 + J10*10 + K10*10 + L10*5 + IF(M10&gt;=80,10,IF(M10&gt;=40,5,0)) + N10*10 + MIN(O10*5, 10),0))</f>
      </c>
      <c r="Q10" s="3">
        <f>=IF(A10="","",IF(P10&gt;=70,"A类 高意向",IF(P10&gt;=40,"B类 潜在",IF(P10&gt;0,"C类 低意向",""))))</f>
      </c>
      <c r="R10" s="3">
        <f>=IF(A10="","",IF(P10&gt;=70,"24h内回复 + 1对1人工跟（话术见A类）",IF(P10&gt;=40,"3天内跟进1次（话术见B类）","进培育池，每月群发1次内容")))</f>
      </c>
    </row>
    <row r="11" ht="22" customHeight="1" spans="1:18" x14ac:dyDescent="0.25">
      <c r="A11" s="3" t="s">
        <v>0</v>
      </c>
      <c r="B11" s="3" t="s">
        <v>0</v>
      </c>
      <c r="C11" s="3" t="s">
        <v>0</v>
      </c>
      <c r="D11" s="3" t="s">
        <v>0</v>
      </c>
      <c r="E11" s="3" t="s">
        <v>0</v>
      </c>
      <c r="F11" s="3" t="s">
        <v>0</v>
      </c>
      <c r="G11" s="3" t="s">
        <v>0</v>
      </c>
      <c r="H11" s="3" t="s">
        <v>0</v>
      </c>
      <c r="I11" s="3" t="s">
        <v>0</v>
      </c>
      <c r="J11" s="3" t="s">
        <v>0</v>
      </c>
      <c r="K11" s="3" t="s">
        <v>0</v>
      </c>
      <c r="L11" s="3" t="s">
        <v>0</v>
      </c>
      <c r="M11" s="3" t="s">
        <v>0</v>
      </c>
      <c r="N11" s="3" t="s">
        <v>0</v>
      </c>
      <c r="O11" s="3" t="s">
        <v>0</v>
      </c>
      <c r="P11" s="3">
        <f>=IF(A11="","",ROUND(G11*15 + H11*15 + I11*15 + J11*10 + K11*10 + L11*5 + IF(M11&gt;=80,10,IF(M11&gt;=40,5,0)) + N11*10 + MIN(O11*5, 10),0))</f>
      </c>
      <c r="Q11" s="3">
        <f>=IF(A11="","",IF(P11&gt;=70,"A类 高意向",IF(P11&gt;=40,"B类 潜在",IF(P11&gt;0,"C类 低意向",""))))</f>
      </c>
      <c r="R11" s="3">
        <f>=IF(A11="","",IF(P11&gt;=70,"24h内回复 + 1对1人工跟（话术见A类）",IF(P11&gt;=40,"3天内跟进1次（话术见B类）","进培育池，每月群发1次内容")))</f>
      </c>
    </row>
    <row r="12" ht="22" customHeight="1" spans="1:18" x14ac:dyDescent="0.25">
      <c r="A12" s="3" t="s">
        <v>0</v>
      </c>
      <c r="B12" s="3" t="s">
        <v>0</v>
      </c>
      <c r="C12" s="3" t="s">
        <v>0</v>
      </c>
      <c r="D12" s="3" t="s">
        <v>0</v>
      </c>
      <c r="E12" s="3" t="s">
        <v>0</v>
      </c>
      <c r="F12" s="3" t="s">
        <v>0</v>
      </c>
      <c r="G12" s="3" t="s">
        <v>0</v>
      </c>
      <c r="H12" s="3" t="s">
        <v>0</v>
      </c>
      <c r="I12" s="3" t="s">
        <v>0</v>
      </c>
      <c r="J12" s="3" t="s">
        <v>0</v>
      </c>
      <c r="K12" s="3" t="s">
        <v>0</v>
      </c>
      <c r="L12" s="3" t="s">
        <v>0</v>
      </c>
      <c r="M12" s="3" t="s">
        <v>0</v>
      </c>
      <c r="N12" s="3" t="s">
        <v>0</v>
      </c>
      <c r="O12" s="3" t="s">
        <v>0</v>
      </c>
      <c r="P12" s="3">
        <f>=IF(A12="","",ROUND(G12*15 + H12*15 + I12*15 + J12*10 + K12*10 + L12*5 + IF(M12&gt;=80,10,IF(M12&gt;=40,5,0)) + N12*10 + MIN(O12*5, 10),0))</f>
      </c>
      <c r="Q12" s="3">
        <f>=IF(A12="","",IF(P12&gt;=70,"A类 高意向",IF(P12&gt;=40,"B类 潜在",IF(P12&gt;0,"C类 低意向",""))))</f>
      </c>
      <c r="R12" s="3">
        <f>=IF(A12="","",IF(P12&gt;=70,"24h内回复 + 1对1人工跟（话术见A类）",IF(P12&gt;=40,"3天内跟进1次（话术见B类）","进培育池，每月群发1次内容")))</f>
      </c>
    </row>
    <row r="13" ht="22" customHeight="1" spans="1:18" x14ac:dyDescent="0.25">
      <c r="A13" s="3" t="s">
        <v>0</v>
      </c>
      <c r="B13" s="3" t="s">
        <v>0</v>
      </c>
      <c r="C13" s="3" t="s">
        <v>0</v>
      </c>
      <c r="D13" s="3" t="s">
        <v>0</v>
      </c>
      <c r="E13" s="3" t="s">
        <v>0</v>
      </c>
      <c r="F13" s="3" t="s">
        <v>0</v>
      </c>
      <c r="G13" s="3" t="s">
        <v>0</v>
      </c>
      <c r="H13" s="3" t="s">
        <v>0</v>
      </c>
      <c r="I13" s="3" t="s">
        <v>0</v>
      </c>
      <c r="J13" s="3" t="s">
        <v>0</v>
      </c>
      <c r="K13" s="3" t="s">
        <v>0</v>
      </c>
      <c r="L13" s="3" t="s">
        <v>0</v>
      </c>
      <c r="M13" s="3" t="s">
        <v>0</v>
      </c>
      <c r="N13" s="3" t="s">
        <v>0</v>
      </c>
      <c r="O13" s="3" t="s">
        <v>0</v>
      </c>
      <c r="P13" s="3">
        <f>=IF(A13="","",ROUND(G13*15 + H13*15 + I13*15 + J13*10 + K13*10 + L13*5 + IF(M13&gt;=80,10,IF(M13&gt;=40,5,0)) + N13*10 + MIN(O13*5, 10),0))</f>
      </c>
      <c r="Q13" s="3">
        <f>=IF(A13="","",IF(P13&gt;=70,"A类 高意向",IF(P13&gt;=40,"B类 潜在",IF(P13&gt;0,"C类 低意向",""))))</f>
      </c>
      <c r="R13" s="3">
        <f>=IF(A13="","",IF(P13&gt;=70,"24h内回复 + 1对1人工跟（话术见A类）",IF(P13&gt;=40,"3天内跟进1次（话术见B类）","进培育池，每月群发1次内容")))</f>
      </c>
    </row>
    <row r="14" ht="22" customHeight="1" spans="1:18" x14ac:dyDescent="0.25">
      <c r="A14" s="3" t="s">
        <v>0</v>
      </c>
      <c r="B14" s="3" t="s">
        <v>0</v>
      </c>
      <c r="C14" s="3" t="s">
        <v>0</v>
      </c>
      <c r="D14" s="3" t="s">
        <v>0</v>
      </c>
      <c r="E14" s="3" t="s">
        <v>0</v>
      </c>
      <c r="F14" s="3" t="s">
        <v>0</v>
      </c>
      <c r="G14" s="3" t="s">
        <v>0</v>
      </c>
      <c r="H14" s="3" t="s">
        <v>0</v>
      </c>
      <c r="I14" s="3" t="s">
        <v>0</v>
      </c>
      <c r="J14" s="3" t="s">
        <v>0</v>
      </c>
      <c r="K14" s="3" t="s">
        <v>0</v>
      </c>
      <c r="L14" s="3" t="s">
        <v>0</v>
      </c>
      <c r="M14" s="3" t="s">
        <v>0</v>
      </c>
      <c r="N14" s="3" t="s">
        <v>0</v>
      </c>
      <c r="O14" s="3" t="s">
        <v>0</v>
      </c>
      <c r="P14" s="3">
        <f>=IF(A14="","",ROUND(G14*15 + H14*15 + I14*15 + J14*10 + K14*10 + L14*5 + IF(M14&gt;=80,10,IF(M14&gt;=40,5,0)) + N14*10 + MIN(O14*5, 10),0))</f>
      </c>
      <c r="Q14" s="3">
        <f>=IF(A14="","",IF(P14&gt;=70,"A类 高意向",IF(P14&gt;=40,"B类 潜在",IF(P14&gt;0,"C类 低意向",""))))</f>
      </c>
      <c r="R14" s="3">
        <f>=IF(A14="","",IF(P14&gt;=70,"24h内回复 + 1对1人工跟（话术见A类）",IF(P14&gt;=40,"3天内跟进1次（话术见B类）","进培育池，每月群发1次内容")))</f>
      </c>
    </row>
    <row r="15" ht="22" customHeight="1" spans="1:18" x14ac:dyDescent="0.25">
      <c r="A15" s="3" t="s">
        <v>0</v>
      </c>
      <c r="B15" s="3" t="s">
        <v>0</v>
      </c>
      <c r="C15" s="3" t="s">
        <v>0</v>
      </c>
      <c r="D15" s="3" t="s">
        <v>0</v>
      </c>
      <c r="E15" s="3" t="s">
        <v>0</v>
      </c>
      <c r="F15" s="3" t="s">
        <v>0</v>
      </c>
      <c r="G15" s="3" t="s">
        <v>0</v>
      </c>
      <c r="H15" s="3" t="s">
        <v>0</v>
      </c>
      <c r="I15" s="3" t="s">
        <v>0</v>
      </c>
      <c r="J15" s="3" t="s">
        <v>0</v>
      </c>
      <c r="K15" s="3" t="s">
        <v>0</v>
      </c>
      <c r="L15" s="3" t="s">
        <v>0</v>
      </c>
      <c r="M15" s="3" t="s">
        <v>0</v>
      </c>
      <c r="N15" s="3" t="s">
        <v>0</v>
      </c>
      <c r="O15" s="3" t="s">
        <v>0</v>
      </c>
      <c r="P15" s="3">
        <f>=IF(A15="","",ROUND(G15*15 + H15*15 + I15*15 + J15*10 + K15*10 + L15*5 + IF(M15&gt;=80,10,IF(M15&gt;=40,5,0)) + N15*10 + MIN(O15*5, 10),0))</f>
      </c>
      <c r="Q15" s="3">
        <f>=IF(A15="","",IF(P15&gt;=70,"A类 高意向",IF(P15&gt;=40,"B类 潜在",IF(P15&gt;0,"C类 低意向",""))))</f>
      </c>
      <c r="R15" s="3">
        <f>=IF(A15="","",IF(P15&gt;=70,"24h内回复 + 1对1人工跟（话术见A类）",IF(P15&gt;=40,"3天内跟进1次（话术见B类）","进培育池，每月群发1次内容")))</f>
      </c>
    </row>
    <row r="16" ht="22" customHeight="1" spans="1:18" x14ac:dyDescent="0.25">
      <c r="A16" s="3" t="s">
        <v>0</v>
      </c>
      <c r="B16" s="3" t="s">
        <v>0</v>
      </c>
      <c r="C16" s="3" t="s">
        <v>0</v>
      </c>
      <c r="D16" s="3" t="s">
        <v>0</v>
      </c>
      <c r="E16" s="3" t="s">
        <v>0</v>
      </c>
      <c r="F16" s="3" t="s">
        <v>0</v>
      </c>
      <c r="G16" s="3" t="s">
        <v>0</v>
      </c>
      <c r="H16" s="3" t="s">
        <v>0</v>
      </c>
      <c r="I16" s="3" t="s">
        <v>0</v>
      </c>
      <c r="J16" s="3" t="s">
        <v>0</v>
      </c>
      <c r="K16" s="3" t="s">
        <v>0</v>
      </c>
      <c r="L16" s="3" t="s">
        <v>0</v>
      </c>
      <c r="M16" s="3" t="s">
        <v>0</v>
      </c>
      <c r="N16" s="3" t="s">
        <v>0</v>
      </c>
      <c r="O16" s="3" t="s">
        <v>0</v>
      </c>
      <c r="P16" s="3">
        <f>=IF(A16="","",ROUND(G16*15 + H16*15 + I16*15 + J16*10 + K16*10 + L16*5 + IF(M16&gt;=80,10,IF(M16&gt;=40,5,0)) + N16*10 + MIN(O16*5, 10),0))</f>
      </c>
      <c r="Q16" s="3">
        <f>=IF(A16="","",IF(P16&gt;=70,"A类 高意向",IF(P16&gt;=40,"B类 潜在",IF(P16&gt;0,"C类 低意向",""))))</f>
      </c>
      <c r="R16" s="3">
        <f>=IF(A16="","",IF(P16&gt;=70,"24h内回复 + 1对1人工跟（话术见A类）",IF(P16&gt;=40,"3天内跟进1次（话术见B类）","进培育池，每月群发1次内容")))</f>
      </c>
    </row>
    <row r="17" ht="22" customHeight="1" spans="1:18" x14ac:dyDescent="0.25">
      <c r="A17" s="3" t="s">
        <v>0</v>
      </c>
      <c r="B17" s="3" t="s">
        <v>0</v>
      </c>
      <c r="C17" s="3" t="s">
        <v>0</v>
      </c>
      <c r="D17" s="3" t="s">
        <v>0</v>
      </c>
      <c r="E17" s="3" t="s">
        <v>0</v>
      </c>
      <c r="F17" s="3" t="s">
        <v>0</v>
      </c>
      <c r="G17" s="3" t="s">
        <v>0</v>
      </c>
      <c r="H17" s="3" t="s">
        <v>0</v>
      </c>
      <c r="I17" s="3" t="s">
        <v>0</v>
      </c>
      <c r="J17" s="3" t="s">
        <v>0</v>
      </c>
      <c r="K17" s="3" t="s">
        <v>0</v>
      </c>
      <c r="L17" s="3" t="s">
        <v>0</v>
      </c>
      <c r="M17" s="3" t="s">
        <v>0</v>
      </c>
      <c r="N17" s="3" t="s">
        <v>0</v>
      </c>
      <c r="O17" s="3" t="s">
        <v>0</v>
      </c>
      <c r="P17" s="3">
        <f>=IF(A17="","",ROUND(G17*15 + H17*15 + I17*15 + J17*10 + K17*10 + L17*5 + IF(M17&gt;=80,10,IF(M17&gt;=40,5,0)) + N17*10 + MIN(O17*5, 10),0))</f>
      </c>
      <c r="Q17" s="3">
        <f>=IF(A17="","",IF(P17&gt;=70,"A类 高意向",IF(P17&gt;=40,"B类 潜在",IF(P17&gt;0,"C类 低意向",""))))</f>
      </c>
      <c r="R17" s="3">
        <f>=IF(A17="","",IF(P17&gt;=70,"24h内回复 + 1对1人工跟（话术见A类）",IF(P17&gt;=40,"3天内跟进1次（话术见B类）","进培育池，每月群发1次内容")))</f>
      </c>
    </row>
    <row r="18" ht="22" customHeight="1" spans="1:18" x14ac:dyDescent="0.25">
      <c r="A18" s="3" t="s">
        <v>0</v>
      </c>
      <c r="B18" s="3" t="s">
        <v>0</v>
      </c>
      <c r="C18" s="3" t="s">
        <v>0</v>
      </c>
      <c r="D18" s="3" t="s">
        <v>0</v>
      </c>
      <c r="E18" s="3" t="s">
        <v>0</v>
      </c>
      <c r="F18" s="3" t="s">
        <v>0</v>
      </c>
      <c r="G18" s="3" t="s">
        <v>0</v>
      </c>
      <c r="H18" s="3" t="s">
        <v>0</v>
      </c>
      <c r="I18" s="3" t="s">
        <v>0</v>
      </c>
      <c r="J18" s="3" t="s">
        <v>0</v>
      </c>
      <c r="K18" s="3" t="s">
        <v>0</v>
      </c>
      <c r="L18" s="3" t="s">
        <v>0</v>
      </c>
      <c r="M18" s="3" t="s">
        <v>0</v>
      </c>
      <c r="N18" s="3" t="s">
        <v>0</v>
      </c>
      <c r="O18" s="3" t="s">
        <v>0</v>
      </c>
      <c r="P18" s="3">
        <f>=IF(A18="","",ROUND(G18*15 + H18*15 + I18*15 + J18*10 + K18*10 + L18*5 + IF(M18&gt;=80,10,IF(M18&gt;=40,5,0)) + N18*10 + MIN(O18*5, 10),0))</f>
      </c>
      <c r="Q18" s="3">
        <f>=IF(A18="","",IF(P18&gt;=70,"A类 高意向",IF(P18&gt;=40,"B类 潜在",IF(P18&gt;0,"C类 低意向",""))))</f>
      </c>
      <c r="R18" s="3">
        <f>=IF(A18="","",IF(P18&gt;=70,"24h内回复 + 1对1人工跟（话术见A类）",IF(P18&gt;=40,"3天内跟进1次（话术见B类）","进培育池，每月群发1次内容")))</f>
      </c>
    </row>
    <row r="19" ht="22" customHeight="1" spans="1:18" x14ac:dyDescent="0.25">
      <c r="A19" s="3" t="s">
        <v>0</v>
      </c>
      <c r="B19" s="3" t="s">
        <v>0</v>
      </c>
      <c r="C19" s="3" t="s">
        <v>0</v>
      </c>
      <c r="D19" s="3" t="s">
        <v>0</v>
      </c>
      <c r="E19" s="3" t="s">
        <v>0</v>
      </c>
      <c r="F19" s="3" t="s">
        <v>0</v>
      </c>
      <c r="G19" s="3" t="s">
        <v>0</v>
      </c>
      <c r="H19" s="3" t="s">
        <v>0</v>
      </c>
      <c r="I19" s="3" t="s">
        <v>0</v>
      </c>
      <c r="J19" s="3" t="s">
        <v>0</v>
      </c>
      <c r="K19" s="3" t="s">
        <v>0</v>
      </c>
      <c r="L19" s="3" t="s">
        <v>0</v>
      </c>
      <c r="M19" s="3" t="s">
        <v>0</v>
      </c>
      <c r="N19" s="3" t="s">
        <v>0</v>
      </c>
      <c r="O19" s="3" t="s">
        <v>0</v>
      </c>
      <c r="P19" s="3">
        <f>=IF(A19="","",ROUND(G19*15 + H19*15 + I19*15 + J19*10 + K19*10 + L19*5 + IF(M19&gt;=80,10,IF(M19&gt;=40,5,0)) + N19*10 + MIN(O19*5, 10),0))</f>
      </c>
      <c r="Q19" s="3">
        <f>=IF(A19="","",IF(P19&gt;=70,"A类 高意向",IF(P19&gt;=40,"B类 潜在",IF(P19&gt;0,"C类 低意向",""))))</f>
      </c>
      <c r="R19" s="3">
        <f>=IF(A19="","",IF(P19&gt;=70,"24h内回复 + 1对1人工跟（话术见A类）",IF(P19&gt;=40,"3天内跟进1次（话术见B类）","进培育池，每月群发1次内容")))</f>
      </c>
    </row>
    <row r="20" ht="22" customHeight="1" spans="1:18" x14ac:dyDescent="0.25">
      <c r="A20" s="3" t="s">
        <v>0</v>
      </c>
      <c r="B20" s="3" t="s">
        <v>0</v>
      </c>
      <c r="C20" s="3" t="s">
        <v>0</v>
      </c>
      <c r="D20" s="3" t="s">
        <v>0</v>
      </c>
      <c r="E20" s="3" t="s">
        <v>0</v>
      </c>
      <c r="F20" s="3" t="s">
        <v>0</v>
      </c>
      <c r="G20" s="3" t="s">
        <v>0</v>
      </c>
      <c r="H20" s="3" t="s">
        <v>0</v>
      </c>
      <c r="I20" s="3" t="s">
        <v>0</v>
      </c>
      <c r="J20" s="3" t="s">
        <v>0</v>
      </c>
      <c r="K20" s="3" t="s">
        <v>0</v>
      </c>
      <c r="L20" s="3" t="s">
        <v>0</v>
      </c>
      <c r="M20" s="3" t="s">
        <v>0</v>
      </c>
      <c r="N20" s="3" t="s">
        <v>0</v>
      </c>
      <c r="O20" s="3" t="s">
        <v>0</v>
      </c>
      <c r="P20" s="3">
        <f>=IF(A20="","",ROUND(G20*15 + H20*15 + I20*15 + J20*10 + K20*10 + L20*5 + IF(M20&gt;=80,10,IF(M20&gt;=40,5,0)) + N20*10 + MIN(O20*5, 10),0))</f>
      </c>
      <c r="Q20" s="3">
        <f>=IF(A20="","",IF(P20&gt;=70,"A类 高意向",IF(P20&gt;=40,"B类 潜在",IF(P20&gt;0,"C类 低意向",""))))</f>
      </c>
      <c r="R20" s="3">
        <f>=IF(A20="","",IF(P20&gt;=70,"24h内回复 + 1对1人工跟（话术见A类）",IF(P20&gt;=40,"3天内跟进1次（话术见B类）","进培育池，每月群发1次内容")))</f>
      </c>
    </row>
    <row r="21" ht="22" customHeight="1" spans="1:18" x14ac:dyDescent="0.25">
      <c r="A21" s="3" t="s">
        <v>0</v>
      </c>
      <c r="B21" s="3" t="s">
        <v>0</v>
      </c>
      <c r="C21" s="3" t="s">
        <v>0</v>
      </c>
      <c r="D21" s="3" t="s">
        <v>0</v>
      </c>
      <c r="E21" s="3" t="s">
        <v>0</v>
      </c>
      <c r="F21" s="3" t="s">
        <v>0</v>
      </c>
      <c r="G21" s="3" t="s">
        <v>0</v>
      </c>
      <c r="H21" s="3" t="s">
        <v>0</v>
      </c>
      <c r="I21" s="3" t="s">
        <v>0</v>
      </c>
      <c r="J21" s="3" t="s">
        <v>0</v>
      </c>
      <c r="K21" s="3" t="s">
        <v>0</v>
      </c>
      <c r="L21" s="3" t="s">
        <v>0</v>
      </c>
      <c r="M21" s="3" t="s">
        <v>0</v>
      </c>
      <c r="N21" s="3" t="s">
        <v>0</v>
      </c>
      <c r="O21" s="3" t="s">
        <v>0</v>
      </c>
      <c r="P21" s="3">
        <f>=IF(A21="","",ROUND(G21*15 + H21*15 + I21*15 + J21*10 + K21*10 + L21*5 + IF(M21&gt;=80,10,IF(M21&gt;=40,5,0)) + N21*10 + MIN(O21*5, 10),0))</f>
      </c>
      <c r="Q21" s="3">
        <f>=IF(A21="","",IF(P21&gt;=70,"A类 高意向",IF(P21&gt;=40,"B类 潜在",IF(P21&gt;0,"C类 低意向",""))))</f>
      </c>
      <c r="R21" s="3">
        <f>=IF(A21="","",IF(P21&gt;=70,"24h内回复 + 1对1人工跟（话术见A类）",IF(P21&gt;=40,"3天内跟进1次（话术见B类）","进培育池，每月群发1次内容")))</f>
      </c>
    </row>
    <row r="22" ht="22" customHeight="1" spans="1:18" x14ac:dyDescent="0.25">
      <c r="A22" s="3" t="s">
        <v>0</v>
      </c>
      <c r="B22" s="3" t="s">
        <v>0</v>
      </c>
      <c r="C22" s="3" t="s">
        <v>0</v>
      </c>
      <c r="D22" s="3" t="s">
        <v>0</v>
      </c>
      <c r="E22" s="3" t="s">
        <v>0</v>
      </c>
      <c r="F22" s="3" t="s">
        <v>0</v>
      </c>
      <c r="G22" s="3" t="s">
        <v>0</v>
      </c>
      <c r="H22" s="3" t="s">
        <v>0</v>
      </c>
      <c r="I22" s="3" t="s">
        <v>0</v>
      </c>
      <c r="J22" s="3" t="s">
        <v>0</v>
      </c>
      <c r="K22" s="3" t="s">
        <v>0</v>
      </c>
      <c r="L22" s="3" t="s">
        <v>0</v>
      </c>
      <c r="M22" s="3" t="s">
        <v>0</v>
      </c>
      <c r="N22" s="3" t="s">
        <v>0</v>
      </c>
      <c r="O22" s="3" t="s">
        <v>0</v>
      </c>
      <c r="P22" s="3">
        <f>=IF(A22="","",ROUND(G22*15 + H22*15 + I22*15 + J22*10 + K22*10 + L22*5 + IF(M22&gt;=80,10,IF(M22&gt;=40,5,0)) + N22*10 + MIN(O22*5, 10),0))</f>
      </c>
      <c r="Q22" s="3">
        <f>=IF(A22="","",IF(P22&gt;=70,"A类 高意向",IF(P22&gt;=40,"B类 潜在",IF(P22&gt;0,"C类 低意向",""))))</f>
      </c>
      <c r="R22" s="3">
        <f>=IF(A22="","",IF(P22&gt;=70,"24h内回复 + 1对1人工跟（话术见A类）",IF(P22&gt;=40,"3天内跟进1次（话术见B类）","进培育池，每月群发1次内容")))</f>
      </c>
    </row>
    <row r="23" ht="22" customHeight="1" spans="1:18" x14ac:dyDescent="0.25">
      <c r="A23" s="3" t="s">
        <v>0</v>
      </c>
      <c r="B23" s="3" t="s">
        <v>0</v>
      </c>
      <c r="C23" s="3" t="s">
        <v>0</v>
      </c>
      <c r="D23" s="3" t="s">
        <v>0</v>
      </c>
      <c r="E23" s="3" t="s">
        <v>0</v>
      </c>
      <c r="F23" s="3" t="s">
        <v>0</v>
      </c>
      <c r="G23" s="3" t="s">
        <v>0</v>
      </c>
      <c r="H23" s="3" t="s">
        <v>0</v>
      </c>
      <c r="I23" s="3" t="s">
        <v>0</v>
      </c>
      <c r="J23" s="3" t="s">
        <v>0</v>
      </c>
      <c r="K23" s="3" t="s">
        <v>0</v>
      </c>
      <c r="L23" s="3" t="s">
        <v>0</v>
      </c>
      <c r="M23" s="3" t="s">
        <v>0</v>
      </c>
      <c r="N23" s="3" t="s">
        <v>0</v>
      </c>
      <c r="O23" s="3" t="s">
        <v>0</v>
      </c>
      <c r="P23" s="3">
        <f>=IF(A23="","",ROUND(G23*15 + H23*15 + I23*15 + J23*10 + K23*10 + L23*5 + IF(M23&gt;=80,10,IF(M23&gt;=40,5,0)) + N23*10 + MIN(O23*5, 10),0))</f>
      </c>
      <c r="Q23" s="3">
        <f>=IF(A23="","",IF(P23&gt;=70,"A类 高意向",IF(P23&gt;=40,"B类 潜在",IF(P23&gt;0,"C类 低意向",""))))</f>
      </c>
      <c r="R23" s="3">
        <f>=IF(A23="","",IF(P23&gt;=70,"24h内回复 + 1对1人工跟（话术见A类）",IF(P23&gt;=40,"3天内跟进1次（话术见B类）","进培育池，每月群发1次内容")))</f>
      </c>
    </row>
    <row r="24" ht="22" customHeight="1" spans="1:18" x14ac:dyDescent="0.25">
      <c r="A24" s="3" t="s">
        <v>0</v>
      </c>
      <c r="B24" s="3" t="s">
        <v>0</v>
      </c>
      <c r="C24" s="3" t="s">
        <v>0</v>
      </c>
      <c r="D24" s="3" t="s">
        <v>0</v>
      </c>
      <c r="E24" s="3" t="s">
        <v>0</v>
      </c>
      <c r="F24" s="3" t="s">
        <v>0</v>
      </c>
      <c r="G24" s="3" t="s">
        <v>0</v>
      </c>
      <c r="H24" s="3" t="s">
        <v>0</v>
      </c>
      <c r="I24" s="3" t="s">
        <v>0</v>
      </c>
      <c r="J24" s="3" t="s">
        <v>0</v>
      </c>
      <c r="K24" s="3" t="s">
        <v>0</v>
      </c>
      <c r="L24" s="3" t="s">
        <v>0</v>
      </c>
      <c r="M24" s="3" t="s">
        <v>0</v>
      </c>
      <c r="N24" s="3" t="s">
        <v>0</v>
      </c>
      <c r="O24" s="3" t="s">
        <v>0</v>
      </c>
      <c r="P24" s="3">
        <f>=IF(A24="","",ROUND(G24*15 + H24*15 + I24*15 + J24*10 + K24*10 + L24*5 + IF(M24&gt;=80,10,IF(M24&gt;=40,5,0)) + N24*10 + MIN(O24*5, 10),0))</f>
      </c>
      <c r="Q24" s="3">
        <f>=IF(A24="","",IF(P24&gt;=70,"A类 高意向",IF(P24&gt;=40,"B类 潜在",IF(P24&gt;0,"C类 低意向",""))))</f>
      </c>
      <c r="R24" s="3">
        <f>=IF(A24="","",IF(P24&gt;=70,"24h内回复 + 1对1人工跟（话术见A类）",IF(P24&gt;=40,"3天内跟进1次（话术见B类）","进培育池，每月群发1次内容")))</f>
      </c>
    </row>
    <row r="25" ht="22" customHeight="1" spans="1:18" x14ac:dyDescent="0.25">
      <c r="A25" s="3" t="s">
        <v>0</v>
      </c>
      <c r="B25" s="3" t="s">
        <v>0</v>
      </c>
      <c r="C25" s="3" t="s">
        <v>0</v>
      </c>
      <c r="D25" s="3" t="s">
        <v>0</v>
      </c>
      <c r="E25" s="3" t="s">
        <v>0</v>
      </c>
      <c r="F25" s="3" t="s">
        <v>0</v>
      </c>
      <c r="G25" s="3" t="s">
        <v>0</v>
      </c>
      <c r="H25" s="3" t="s">
        <v>0</v>
      </c>
      <c r="I25" s="3" t="s">
        <v>0</v>
      </c>
      <c r="J25" s="3" t="s">
        <v>0</v>
      </c>
      <c r="K25" s="3" t="s">
        <v>0</v>
      </c>
      <c r="L25" s="3" t="s">
        <v>0</v>
      </c>
      <c r="M25" s="3" t="s">
        <v>0</v>
      </c>
      <c r="N25" s="3" t="s">
        <v>0</v>
      </c>
      <c r="O25" s="3" t="s">
        <v>0</v>
      </c>
      <c r="P25" s="3">
        <f>=IF(A25="","",ROUND(G25*15 + H25*15 + I25*15 + J25*10 + K25*10 + L25*5 + IF(M25&gt;=80,10,IF(M25&gt;=40,5,0)) + N25*10 + MIN(O25*5, 10),0))</f>
      </c>
      <c r="Q25" s="3">
        <f>=IF(A25="","",IF(P25&gt;=70,"A类 高意向",IF(P25&gt;=40,"B类 潜在",IF(P25&gt;0,"C类 低意向",""))))</f>
      </c>
      <c r="R25" s="3">
        <f>=IF(A25="","",IF(P25&gt;=70,"24h内回复 + 1对1人工跟（话术见A类）",IF(P25&gt;=40,"3天内跟进1次（话术见B类）","进培育池，每月群发1次内容")))</f>
      </c>
    </row>
    <row r="26" ht="22" customHeight="1" spans="1:18" x14ac:dyDescent="0.25">
      <c r="A26" s="3" t="s">
        <v>0</v>
      </c>
      <c r="B26" s="3" t="s">
        <v>0</v>
      </c>
      <c r="C26" s="3" t="s">
        <v>0</v>
      </c>
      <c r="D26" s="3" t="s">
        <v>0</v>
      </c>
      <c r="E26" s="3" t="s">
        <v>0</v>
      </c>
      <c r="F26" s="3" t="s">
        <v>0</v>
      </c>
      <c r="G26" s="3" t="s">
        <v>0</v>
      </c>
      <c r="H26" s="3" t="s">
        <v>0</v>
      </c>
      <c r="I26" s="3" t="s">
        <v>0</v>
      </c>
      <c r="J26" s="3" t="s">
        <v>0</v>
      </c>
      <c r="K26" s="3" t="s">
        <v>0</v>
      </c>
      <c r="L26" s="3" t="s">
        <v>0</v>
      </c>
      <c r="M26" s="3" t="s">
        <v>0</v>
      </c>
      <c r="N26" s="3" t="s">
        <v>0</v>
      </c>
      <c r="O26" s="3" t="s">
        <v>0</v>
      </c>
      <c r="P26" s="3">
        <f>=IF(A26="","",ROUND(G26*15 + H26*15 + I26*15 + J26*10 + K26*10 + L26*5 + IF(M26&gt;=80,10,IF(M26&gt;=40,5,0)) + N26*10 + MIN(O26*5, 10),0))</f>
      </c>
      <c r="Q26" s="3">
        <f>=IF(A26="","",IF(P26&gt;=70,"A类 高意向",IF(P26&gt;=40,"B类 潜在",IF(P26&gt;0,"C类 低意向",""))))</f>
      </c>
      <c r="R26" s="3">
        <f>=IF(A26="","",IF(P26&gt;=70,"24h内回复 + 1对1人工跟（话术见A类）",IF(P26&gt;=40,"3天内跟进1次（话术见B类）","进培育池，每月群发1次内容")))</f>
      </c>
    </row>
    <row r="27" ht="22" customHeight="1" spans="1:18" x14ac:dyDescent="0.25">
      <c r="A27" s="3" t="s">
        <v>0</v>
      </c>
      <c r="B27" s="3" t="s">
        <v>0</v>
      </c>
      <c r="C27" s="3" t="s">
        <v>0</v>
      </c>
      <c r="D27" s="3" t="s">
        <v>0</v>
      </c>
      <c r="E27" s="3" t="s">
        <v>0</v>
      </c>
      <c r="F27" s="3" t="s">
        <v>0</v>
      </c>
      <c r="G27" s="3" t="s">
        <v>0</v>
      </c>
      <c r="H27" s="3" t="s">
        <v>0</v>
      </c>
      <c r="I27" s="3" t="s">
        <v>0</v>
      </c>
      <c r="J27" s="3" t="s">
        <v>0</v>
      </c>
      <c r="K27" s="3" t="s">
        <v>0</v>
      </c>
      <c r="L27" s="3" t="s">
        <v>0</v>
      </c>
      <c r="M27" s="3" t="s">
        <v>0</v>
      </c>
      <c r="N27" s="3" t="s">
        <v>0</v>
      </c>
      <c r="O27" s="3" t="s">
        <v>0</v>
      </c>
      <c r="P27" s="3">
        <f>=IF(A27="","",ROUND(G27*15 + H27*15 + I27*15 + J27*10 + K27*10 + L27*5 + IF(M27&gt;=80,10,IF(M27&gt;=40,5,0)) + N27*10 + MIN(O27*5, 10),0))</f>
      </c>
      <c r="Q27" s="3">
        <f>=IF(A27="","",IF(P27&gt;=70,"A类 高意向",IF(P27&gt;=40,"B类 潜在",IF(P27&gt;0,"C类 低意向",""))))</f>
      </c>
      <c r="R27" s="3">
        <f>=IF(A27="","",IF(P27&gt;=70,"24h内回复 + 1对1人工跟（话术见A类）",IF(P27&gt;=40,"3天内跟进1次（话术见B类）","进培育池，每月群发1次内容")))</f>
      </c>
    </row>
    <row r="28" ht="22" customHeight="1" spans="1:18" x14ac:dyDescent="0.25">
      <c r="A28" s="3" t="s">
        <v>0</v>
      </c>
      <c r="B28" s="3" t="s">
        <v>0</v>
      </c>
      <c r="C28" s="3" t="s">
        <v>0</v>
      </c>
      <c r="D28" s="3" t="s">
        <v>0</v>
      </c>
      <c r="E28" s="3" t="s">
        <v>0</v>
      </c>
      <c r="F28" s="3" t="s">
        <v>0</v>
      </c>
      <c r="G28" s="3" t="s">
        <v>0</v>
      </c>
      <c r="H28" s="3" t="s">
        <v>0</v>
      </c>
      <c r="I28" s="3" t="s">
        <v>0</v>
      </c>
      <c r="J28" s="3" t="s">
        <v>0</v>
      </c>
      <c r="K28" s="3" t="s">
        <v>0</v>
      </c>
      <c r="L28" s="3" t="s">
        <v>0</v>
      </c>
      <c r="M28" s="3" t="s">
        <v>0</v>
      </c>
      <c r="N28" s="3" t="s">
        <v>0</v>
      </c>
      <c r="O28" s="3" t="s">
        <v>0</v>
      </c>
      <c r="P28" s="3">
        <f>=IF(A28="","",ROUND(G28*15 + H28*15 + I28*15 + J28*10 + K28*10 + L28*5 + IF(M28&gt;=80,10,IF(M28&gt;=40,5,0)) + N28*10 + MIN(O28*5, 10),0))</f>
      </c>
      <c r="Q28" s="3">
        <f>=IF(A28="","",IF(P28&gt;=70,"A类 高意向",IF(P28&gt;=40,"B类 潜在",IF(P28&gt;0,"C类 低意向",""))))</f>
      </c>
      <c r="R28" s="3">
        <f>=IF(A28="","",IF(P28&gt;=70,"24h内回复 + 1对1人工跟（话术见A类）",IF(P28&gt;=40,"3天内跟进1次（话术见B类）","进培育池，每月群发1次内容")))</f>
      </c>
    </row>
    <row r="29" ht="22" customHeight="1" spans="1:18" x14ac:dyDescent="0.25">
      <c r="A29" s="3" t="s">
        <v>0</v>
      </c>
      <c r="B29" s="3" t="s">
        <v>0</v>
      </c>
      <c r="C29" s="3" t="s">
        <v>0</v>
      </c>
      <c r="D29" s="3" t="s">
        <v>0</v>
      </c>
      <c r="E29" s="3" t="s">
        <v>0</v>
      </c>
      <c r="F29" s="3" t="s">
        <v>0</v>
      </c>
      <c r="G29" s="3" t="s">
        <v>0</v>
      </c>
      <c r="H29" s="3" t="s">
        <v>0</v>
      </c>
      <c r="I29" s="3" t="s">
        <v>0</v>
      </c>
      <c r="J29" s="3" t="s">
        <v>0</v>
      </c>
      <c r="K29" s="3" t="s">
        <v>0</v>
      </c>
      <c r="L29" s="3" t="s">
        <v>0</v>
      </c>
      <c r="M29" s="3" t="s">
        <v>0</v>
      </c>
      <c r="N29" s="3" t="s">
        <v>0</v>
      </c>
      <c r="O29" s="3" t="s">
        <v>0</v>
      </c>
      <c r="P29" s="3">
        <f>=IF(A29="","",ROUND(G29*15 + H29*15 + I29*15 + J29*10 + K29*10 + L29*5 + IF(M29&gt;=80,10,IF(M29&gt;=40,5,0)) + N29*10 + MIN(O29*5, 10),0))</f>
      </c>
      <c r="Q29" s="3">
        <f>=IF(A29="","",IF(P29&gt;=70,"A类 高意向",IF(P29&gt;=40,"B类 潜在",IF(P29&gt;0,"C类 低意向",""))))</f>
      </c>
      <c r="R29" s="3">
        <f>=IF(A29="","",IF(P29&gt;=70,"24h内回复 + 1对1人工跟（话术见A类）",IF(P29&gt;=40,"3天内跟进1次（话术见B类）","进培育池，每月群发1次内容")))</f>
      </c>
    </row>
    <row r="30" ht="22" customHeight="1" spans="1:18" x14ac:dyDescent="0.25">
      <c r="A30" s="3" t="s">
        <v>0</v>
      </c>
      <c r="B30" s="3" t="s">
        <v>0</v>
      </c>
      <c r="C30" s="3" t="s">
        <v>0</v>
      </c>
      <c r="D30" s="3" t="s">
        <v>0</v>
      </c>
      <c r="E30" s="3" t="s">
        <v>0</v>
      </c>
      <c r="F30" s="3" t="s">
        <v>0</v>
      </c>
      <c r="G30" s="3" t="s">
        <v>0</v>
      </c>
      <c r="H30" s="3" t="s">
        <v>0</v>
      </c>
      <c r="I30" s="3" t="s">
        <v>0</v>
      </c>
      <c r="J30" s="3" t="s">
        <v>0</v>
      </c>
      <c r="K30" s="3" t="s">
        <v>0</v>
      </c>
      <c r="L30" s="3" t="s">
        <v>0</v>
      </c>
      <c r="M30" s="3" t="s">
        <v>0</v>
      </c>
      <c r="N30" s="3" t="s">
        <v>0</v>
      </c>
      <c r="O30" s="3" t="s">
        <v>0</v>
      </c>
      <c r="P30" s="3">
        <f>=IF(A30="","",ROUND(G30*15 + H30*15 + I30*15 + J30*10 + K30*10 + L30*5 + IF(M30&gt;=80,10,IF(M30&gt;=40,5,0)) + N30*10 + MIN(O30*5, 10),0))</f>
      </c>
      <c r="Q30" s="3">
        <f>=IF(A30="","",IF(P30&gt;=70,"A类 高意向",IF(P30&gt;=40,"B类 潜在",IF(P30&gt;0,"C类 低意向",""))))</f>
      </c>
      <c r="R30" s="3">
        <f>=IF(A30="","",IF(P30&gt;=70,"24h内回复 + 1对1人工跟（话术见A类）",IF(P30&gt;=40,"3天内跟进1次（话术见B类）","进培育池，每月群发1次内容")))</f>
      </c>
    </row>
    <row r="31" ht="22" customHeight="1" spans="1:18" x14ac:dyDescent="0.25">
      <c r="A31" s="3" t="s">
        <v>0</v>
      </c>
      <c r="B31" s="3" t="s">
        <v>0</v>
      </c>
      <c r="C31" s="3" t="s">
        <v>0</v>
      </c>
      <c r="D31" s="3" t="s">
        <v>0</v>
      </c>
      <c r="E31" s="3" t="s">
        <v>0</v>
      </c>
      <c r="F31" s="3" t="s">
        <v>0</v>
      </c>
      <c r="G31" s="3" t="s">
        <v>0</v>
      </c>
      <c r="H31" s="3" t="s">
        <v>0</v>
      </c>
      <c r="I31" s="3" t="s">
        <v>0</v>
      </c>
      <c r="J31" s="3" t="s">
        <v>0</v>
      </c>
      <c r="K31" s="3" t="s">
        <v>0</v>
      </c>
      <c r="L31" s="3" t="s">
        <v>0</v>
      </c>
      <c r="M31" s="3" t="s">
        <v>0</v>
      </c>
      <c r="N31" s="3" t="s">
        <v>0</v>
      </c>
      <c r="O31" s="3" t="s">
        <v>0</v>
      </c>
      <c r="P31" s="3">
        <f>=IF(A31="","",ROUND(G31*15 + H31*15 + I31*15 + J31*10 + K31*10 + L31*5 + IF(M31&gt;=80,10,IF(M31&gt;=40,5,0)) + N31*10 + MIN(O31*5, 10),0))</f>
      </c>
      <c r="Q31" s="3">
        <f>=IF(A31="","",IF(P31&gt;=70,"A类 高意向",IF(P31&gt;=40,"B类 潜在",IF(P31&gt;0,"C类 低意向",""))))</f>
      </c>
      <c r="R31" s="3">
        <f>=IF(A31="","",IF(P31&gt;=70,"24h内回复 + 1对1人工跟（话术见A类）",IF(P31&gt;=40,"3天内跟进1次（话术见B类）","进培育池，每月群发1次内容")))</f>
      </c>
    </row>
    <row r="32" ht="22" customHeight="1" spans="1:18" x14ac:dyDescent="0.25">
      <c r="A32" s="3" t="s">
        <v>0</v>
      </c>
      <c r="B32" s="3" t="s">
        <v>0</v>
      </c>
      <c r="C32" s="3" t="s">
        <v>0</v>
      </c>
      <c r="D32" s="3" t="s">
        <v>0</v>
      </c>
      <c r="E32" s="3" t="s">
        <v>0</v>
      </c>
      <c r="F32" s="3" t="s">
        <v>0</v>
      </c>
      <c r="G32" s="3" t="s">
        <v>0</v>
      </c>
      <c r="H32" s="3" t="s">
        <v>0</v>
      </c>
      <c r="I32" s="3" t="s">
        <v>0</v>
      </c>
      <c r="J32" s="3" t="s">
        <v>0</v>
      </c>
      <c r="K32" s="3" t="s">
        <v>0</v>
      </c>
      <c r="L32" s="3" t="s">
        <v>0</v>
      </c>
      <c r="M32" s="3" t="s">
        <v>0</v>
      </c>
      <c r="N32" s="3" t="s">
        <v>0</v>
      </c>
      <c r="O32" s="3" t="s">
        <v>0</v>
      </c>
      <c r="P32" s="3">
        <f>=IF(A32="","",ROUND(G32*15 + H32*15 + I32*15 + J32*10 + K32*10 + L32*5 + IF(M32&gt;=80,10,IF(M32&gt;=40,5,0)) + N32*10 + MIN(O32*5, 10),0))</f>
      </c>
      <c r="Q32" s="3">
        <f>=IF(A32="","",IF(P32&gt;=70,"A类 高意向",IF(P32&gt;=40,"B类 潜在",IF(P32&gt;0,"C类 低意向",""))))</f>
      </c>
      <c r="R32" s="3">
        <f>=IF(A32="","",IF(P32&gt;=70,"24h内回复 + 1对1人工跟（话术见A类）",IF(P32&gt;=40,"3天内跟进1次（话术见B类）","进培育池，每月群发1次内容")))</f>
      </c>
    </row>
    <row r="33" ht="22" customHeight="1" spans="1:18" x14ac:dyDescent="0.25">
      <c r="A33" s="3" t="s">
        <v>0</v>
      </c>
      <c r="B33" s="3" t="s">
        <v>0</v>
      </c>
      <c r="C33" s="3" t="s">
        <v>0</v>
      </c>
      <c r="D33" s="3" t="s">
        <v>0</v>
      </c>
      <c r="E33" s="3" t="s">
        <v>0</v>
      </c>
      <c r="F33" s="3" t="s">
        <v>0</v>
      </c>
      <c r="G33" s="3" t="s">
        <v>0</v>
      </c>
      <c r="H33" s="3" t="s">
        <v>0</v>
      </c>
      <c r="I33" s="3" t="s">
        <v>0</v>
      </c>
      <c r="J33" s="3" t="s">
        <v>0</v>
      </c>
      <c r="K33" s="3" t="s">
        <v>0</v>
      </c>
      <c r="L33" s="3" t="s">
        <v>0</v>
      </c>
      <c r="M33" s="3" t="s">
        <v>0</v>
      </c>
      <c r="N33" s="3" t="s">
        <v>0</v>
      </c>
      <c r="O33" s="3" t="s">
        <v>0</v>
      </c>
      <c r="P33" s="3">
        <f>=IF(A33="","",ROUND(G33*15 + H33*15 + I33*15 + J33*10 + K33*10 + L33*5 + IF(M33&gt;=80,10,IF(M33&gt;=40,5,0)) + N33*10 + MIN(O33*5, 10),0))</f>
      </c>
      <c r="Q33" s="3">
        <f>=IF(A33="","",IF(P33&gt;=70,"A类 高意向",IF(P33&gt;=40,"B类 潜在",IF(P33&gt;0,"C类 低意向",""))))</f>
      </c>
      <c r="R33" s="3">
        <f>=IF(A33="","",IF(P33&gt;=70,"24h内回复 + 1对1人工跟（话术见A类）",IF(P33&gt;=40,"3天内跟进1次（话术见B类）","进培育池，每月群发1次内容")))</f>
      </c>
    </row>
    <row r="34" ht="22" customHeight="1" spans="1:18" x14ac:dyDescent="0.25">
      <c r="A34" s="3" t="s">
        <v>0</v>
      </c>
      <c r="B34" s="3" t="s">
        <v>0</v>
      </c>
      <c r="C34" s="3" t="s">
        <v>0</v>
      </c>
      <c r="D34" s="3" t="s">
        <v>0</v>
      </c>
      <c r="E34" s="3" t="s">
        <v>0</v>
      </c>
      <c r="F34" s="3" t="s">
        <v>0</v>
      </c>
      <c r="G34" s="3" t="s">
        <v>0</v>
      </c>
      <c r="H34" s="3" t="s">
        <v>0</v>
      </c>
      <c r="I34" s="3" t="s">
        <v>0</v>
      </c>
      <c r="J34" s="3" t="s">
        <v>0</v>
      </c>
      <c r="K34" s="3" t="s">
        <v>0</v>
      </c>
      <c r="L34" s="3" t="s">
        <v>0</v>
      </c>
      <c r="M34" s="3" t="s">
        <v>0</v>
      </c>
      <c r="N34" s="3" t="s">
        <v>0</v>
      </c>
      <c r="O34" s="3" t="s">
        <v>0</v>
      </c>
      <c r="P34" s="3">
        <f>=IF(A34="","",ROUND(G34*15 + H34*15 + I34*15 + J34*10 + K34*10 + L34*5 + IF(M34&gt;=80,10,IF(M34&gt;=40,5,0)) + N34*10 + MIN(O34*5, 10),0))</f>
      </c>
      <c r="Q34" s="3">
        <f>=IF(A34="","",IF(P34&gt;=70,"A类 高意向",IF(P34&gt;=40,"B类 潜在",IF(P34&gt;0,"C类 低意向",""))))</f>
      </c>
      <c r="R34" s="3">
        <f>=IF(A34="","",IF(P34&gt;=70,"24h内回复 + 1对1人工跟（话术见A类）",IF(P34&gt;=40,"3天内跟进1次（话术见B类）","进培育池，每月群发1次内容")))</f>
      </c>
    </row>
    <row r="35" ht="22" customHeight="1" spans="1:18" x14ac:dyDescent="0.25">
      <c r="A35" s="3" t="s">
        <v>0</v>
      </c>
      <c r="B35" s="3" t="s">
        <v>0</v>
      </c>
      <c r="C35" s="3" t="s">
        <v>0</v>
      </c>
      <c r="D35" s="3" t="s">
        <v>0</v>
      </c>
      <c r="E35" s="3" t="s">
        <v>0</v>
      </c>
      <c r="F35" s="3" t="s">
        <v>0</v>
      </c>
      <c r="G35" s="3" t="s">
        <v>0</v>
      </c>
      <c r="H35" s="3" t="s">
        <v>0</v>
      </c>
      <c r="I35" s="3" t="s">
        <v>0</v>
      </c>
      <c r="J35" s="3" t="s">
        <v>0</v>
      </c>
      <c r="K35" s="3" t="s">
        <v>0</v>
      </c>
      <c r="L35" s="3" t="s">
        <v>0</v>
      </c>
      <c r="M35" s="3" t="s">
        <v>0</v>
      </c>
      <c r="N35" s="3" t="s">
        <v>0</v>
      </c>
      <c r="O35" s="3" t="s">
        <v>0</v>
      </c>
      <c r="P35" s="3">
        <f>=IF(A35="","",ROUND(G35*15 + H35*15 + I35*15 + J35*10 + K35*10 + L35*5 + IF(M35&gt;=80,10,IF(M35&gt;=40,5,0)) + N35*10 + MIN(O35*5, 10),0))</f>
      </c>
      <c r="Q35" s="3">
        <f>=IF(A35="","",IF(P35&gt;=70,"A类 高意向",IF(P35&gt;=40,"B类 潜在",IF(P35&gt;0,"C类 低意向",""))))</f>
      </c>
      <c r="R35" s="3">
        <f>=IF(A35="","",IF(P35&gt;=70,"24h内回复 + 1对1人工跟（话术见A类）",IF(P35&gt;=40,"3天内跟进1次（话术见B类）","进培育池，每月群发1次内容")))</f>
      </c>
    </row>
    <row r="36" ht="22" customHeight="1" spans="1:18" x14ac:dyDescent="0.25">
      <c r="A36" s="3" t="s">
        <v>0</v>
      </c>
      <c r="B36" s="3" t="s">
        <v>0</v>
      </c>
      <c r="C36" s="3" t="s">
        <v>0</v>
      </c>
      <c r="D36" s="3" t="s">
        <v>0</v>
      </c>
      <c r="E36" s="3" t="s">
        <v>0</v>
      </c>
      <c r="F36" s="3" t="s">
        <v>0</v>
      </c>
      <c r="G36" s="3" t="s">
        <v>0</v>
      </c>
      <c r="H36" s="3" t="s">
        <v>0</v>
      </c>
      <c r="I36" s="3" t="s">
        <v>0</v>
      </c>
      <c r="J36" s="3" t="s">
        <v>0</v>
      </c>
      <c r="K36" s="3" t="s">
        <v>0</v>
      </c>
      <c r="L36" s="3" t="s">
        <v>0</v>
      </c>
      <c r="M36" s="3" t="s">
        <v>0</v>
      </c>
      <c r="N36" s="3" t="s">
        <v>0</v>
      </c>
      <c r="O36" s="3" t="s">
        <v>0</v>
      </c>
      <c r="P36" s="3">
        <f>=IF(A36="","",ROUND(G36*15 + H36*15 + I36*15 + J36*10 + K36*10 + L36*5 + IF(M36&gt;=80,10,IF(M36&gt;=40,5,0)) + N36*10 + MIN(O36*5, 10),0))</f>
      </c>
      <c r="Q36" s="3">
        <f>=IF(A36="","",IF(P36&gt;=70,"A类 高意向",IF(P36&gt;=40,"B类 潜在",IF(P36&gt;0,"C类 低意向",""))))</f>
      </c>
      <c r="R36" s="3">
        <f>=IF(A36="","",IF(P36&gt;=70,"24h内回复 + 1对1人工跟（话术见A类）",IF(P36&gt;=40,"3天内跟进1次（话术见B类）","进培育池，每月群发1次内容")))</f>
      </c>
    </row>
    <row r="37" ht="22" customHeight="1" spans="1:18" x14ac:dyDescent="0.25">
      <c r="A37" s="3" t="s">
        <v>0</v>
      </c>
      <c r="B37" s="3" t="s">
        <v>0</v>
      </c>
      <c r="C37" s="3" t="s">
        <v>0</v>
      </c>
      <c r="D37" s="3" t="s">
        <v>0</v>
      </c>
      <c r="E37" s="3" t="s">
        <v>0</v>
      </c>
      <c r="F37" s="3" t="s">
        <v>0</v>
      </c>
      <c r="G37" s="3" t="s">
        <v>0</v>
      </c>
      <c r="H37" s="3" t="s">
        <v>0</v>
      </c>
      <c r="I37" s="3" t="s">
        <v>0</v>
      </c>
      <c r="J37" s="3" t="s">
        <v>0</v>
      </c>
      <c r="K37" s="3" t="s">
        <v>0</v>
      </c>
      <c r="L37" s="3" t="s">
        <v>0</v>
      </c>
      <c r="M37" s="3" t="s">
        <v>0</v>
      </c>
      <c r="N37" s="3" t="s">
        <v>0</v>
      </c>
      <c r="O37" s="3" t="s">
        <v>0</v>
      </c>
      <c r="P37" s="3">
        <f>=IF(A37="","",ROUND(G37*15 + H37*15 + I37*15 + J37*10 + K37*10 + L37*5 + IF(M37&gt;=80,10,IF(M37&gt;=40,5,0)) + N37*10 + MIN(O37*5, 10),0))</f>
      </c>
      <c r="Q37" s="3">
        <f>=IF(A37="","",IF(P37&gt;=70,"A类 高意向",IF(P37&gt;=40,"B类 潜在",IF(P37&gt;0,"C类 低意向",""))))</f>
      </c>
      <c r="R37" s="3">
        <f>=IF(A37="","",IF(P37&gt;=70,"24h内回复 + 1对1人工跟（话术见A类）",IF(P37&gt;=40,"3天内跟进1次（话术见B类）","进培育池，每月群发1次内容")))</f>
      </c>
    </row>
    <row r="38" ht="22" customHeight="1" spans="1:18" x14ac:dyDescent="0.25">
      <c r="A38" s="3" t="s">
        <v>0</v>
      </c>
      <c r="B38" s="3" t="s">
        <v>0</v>
      </c>
      <c r="C38" s="3" t="s">
        <v>0</v>
      </c>
      <c r="D38" s="3" t="s">
        <v>0</v>
      </c>
      <c r="E38" s="3" t="s">
        <v>0</v>
      </c>
      <c r="F38" s="3" t="s">
        <v>0</v>
      </c>
      <c r="G38" s="3" t="s">
        <v>0</v>
      </c>
      <c r="H38" s="3" t="s">
        <v>0</v>
      </c>
      <c r="I38" s="3" t="s">
        <v>0</v>
      </c>
      <c r="J38" s="3" t="s">
        <v>0</v>
      </c>
      <c r="K38" s="3" t="s">
        <v>0</v>
      </c>
      <c r="L38" s="3" t="s">
        <v>0</v>
      </c>
      <c r="M38" s="3" t="s">
        <v>0</v>
      </c>
      <c r="N38" s="3" t="s">
        <v>0</v>
      </c>
      <c r="O38" s="3" t="s">
        <v>0</v>
      </c>
      <c r="P38" s="3">
        <f>=IF(A38="","",ROUND(G38*15 + H38*15 + I38*15 + J38*10 + K38*10 + L38*5 + IF(M38&gt;=80,10,IF(M38&gt;=40,5,0)) + N38*10 + MIN(O38*5, 10),0))</f>
      </c>
      <c r="Q38" s="3">
        <f>=IF(A38="","",IF(P38&gt;=70,"A类 高意向",IF(P38&gt;=40,"B类 潜在",IF(P38&gt;0,"C类 低意向",""))))</f>
      </c>
      <c r="R38" s="3">
        <f>=IF(A38="","",IF(P38&gt;=70,"24h内回复 + 1对1人工跟（话术见A类）",IF(P38&gt;=40,"3天内跟进1次（话术见B类）","进培育池，每月群发1次内容")))</f>
      </c>
    </row>
    <row r="39" ht="22" customHeight="1" spans="1:18" x14ac:dyDescent="0.25">
      <c r="A39" s="3" t="s">
        <v>0</v>
      </c>
      <c r="B39" s="3" t="s">
        <v>0</v>
      </c>
      <c r="C39" s="3" t="s">
        <v>0</v>
      </c>
      <c r="D39" s="3" t="s">
        <v>0</v>
      </c>
      <c r="E39" s="3" t="s">
        <v>0</v>
      </c>
      <c r="F39" s="3" t="s">
        <v>0</v>
      </c>
      <c r="G39" s="3" t="s">
        <v>0</v>
      </c>
      <c r="H39" s="3" t="s">
        <v>0</v>
      </c>
      <c r="I39" s="3" t="s">
        <v>0</v>
      </c>
      <c r="J39" s="3" t="s">
        <v>0</v>
      </c>
      <c r="K39" s="3" t="s">
        <v>0</v>
      </c>
      <c r="L39" s="3" t="s">
        <v>0</v>
      </c>
      <c r="M39" s="3" t="s">
        <v>0</v>
      </c>
      <c r="N39" s="3" t="s">
        <v>0</v>
      </c>
      <c r="O39" s="3" t="s">
        <v>0</v>
      </c>
      <c r="P39" s="3">
        <f>=IF(A39="","",ROUND(G39*15 + H39*15 + I39*15 + J39*10 + K39*10 + L39*5 + IF(M39&gt;=80,10,IF(M39&gt;=40,5,0)) + N39*10 + MIN(O39*5, 10),0))</f>
      </c>
      <c r="Q39" s="3">
        <f>=IF(A39="","",IF(P39&gt;=70,"A类 高意向",IF(P39&gt;=40,"B类 潜在",IF(P39&gt;0,"C类 低意向",""))))</f>
      </c>
      <c r="R39" s="3">
        <f>=IF(A39="","",IF(P39&gt;=70,"24h内回复 + 1对1人工跟（话术见A类）",IF(P39&gt;=40,"3天内跟进1次（话术见B类）","进培育池，每月群发1次内容")))</f>
      </c>
    </row>
    <row r="40" ht="22" customHeight="1" spans="1:18" x14ac:dyDescent="0.25">
      <c r="A40" s="3" t="s">
        <v>0</v>
      </c>
      <c r="B40" s="3" t="s">
        <v>0</v>
      </c>
      <c r="C40" s="3" t="s">
        <v>0</v>
      </c>
      <c r="D40" s="3" t="s">
        <v>0</v>
      </c>
      <c r="E40" s="3" t="s">
        <v>0</v>
      </c>
      <c r="F40" s="3" t="s">
        <v>0</v>
      </c>
      <c r="G40" s="3" t="s">
        <v>0</v>
      </c>
      <c r="H40" s="3" t="s">
        <v>0</v>
      </c>
      <c r="I40" s="3" t="s">
        <v>0</v>
      </c>
      <c r="J40" s="3" t="s">
        <v>0</v>
      </c>
      <c r="K40" s="3" t="s">
        <v>0</v>
      </c>
      <c r="L40" s="3" t="s">
        <v>0</v>
      </c>
      <c r="M40" s="3" t="s">
        <v>0</v>
      </c>
      <c r="N40" s="3" t="s">
        <v>0</v>
      </c>
      <c r="O40" s="3" t="s">
        <v>0</v>
      </c>
      <c r="P40" s="3">
        <f>=IF(A40="","",ROUND(G40*15 + H40*15 + I40*15 + J40*10 + K40*10 + L40*5 + IF(M40&gt;=80,10,IF(M40&gt;=40,5,0)) + N40*10 + MIN(O40*5, 10),0))</f>
      </c>
      <c r="Q40" s="3">
        <f>=IF(A40="","",IF(P40&gt;=70,"A类 高意向",IF(P40&gt;=40,"B类 潜在",IF(P40&gt;0,"C类 低意向",""))))</f>
      </c>
      <c r="R40" s="3">
        <f>=IF(A40="","",IF(P40&gt;=70,"24h内回复 + 1对1人工跟（话术见A类）",IF(P40&gt;=40,"3天内跟进1次（话术见B类）","进培育池，每月群发1次内容")))</f>
      </c>
    </row>
    <row r="41" ht="22" customHeight="1" spans="1:18" x14ac:dyDescent="0.25">
      <c r="A41" s="3" t="s">
        <v>0</v>
      </c>
      <c r="B41" s="3" t="s">
        <v>0</v>
      </c>
      <c r="C41" s="3" t="s">
        <v>0</v>
      </c>
      <c r="D41" s="3" t="s">
        <v>0</v>
      </c>
      <c r="E41" s="3" t="s">
        <v>0</v>
      </c>
      <c r="F41" s="3" t="s">
        <v>0</v>
      </c>
      <c r="G41" s="3" t="s">
        <v>0</v>
      </c>
      <c r="H41" s="3" t="s">
        <v>0</v>
      </c>
      <c r="I41" s="3" t="s">
        <v>0</v>
      </c>
      <c r="J41" s="3" t="s">
        <v>0</v>
      </c>
      <c r="K41" s="3" t="s">
        <v>0</v>
      </c>
      <c r="L41" s="3" t="s">
        <v>0</v>
      </c>
      <c r="M41" s="3" t="s">
        <v>0</v>
      </c>
      <c r="N41" s="3" t="s">
        <v>0</v>
      </c>
      <c r="O41" s="3" t="s">
        <v>0</v>
      </c>
      <c r="P41" s="3">
        <f>=IF(A41="","",ROUND(G41*15 + H41*15 + I41*15 + J41*10 + K41*10 + L41*5 + IF(M41&gt;=80,10,IF(M41&gt;=40,5,0)) + N41*10 + MIN(O41*5, 10),0))</f>
      </c>
      <c r="Q41" s="3">
        <f>=IF(A41="","",IF(P41&gt;=70,"A类 高意向",IF(P41&gt;=40,"B类 潜在",IF(P41&gt;0,"C类 低意向",""))))</f>
      </c>
      <c r="R41" s="3">
        <f>=IF(A41="","",IF(P41&gt;=70,"24h内回复 + 1对1人工跟（话术见A类）",IF(P41&gt;=40,"3天内跟进1次（话术见B类）","进培育池，每月群发1次内容")))</f>
      </c>
    </row>
    <row r="42" ht="22" customHeight="1" spans="1:18" x14ac:dyDescent="0.25">
      <c r="A42" s="3" t="s">
        <v>0</v>
      </c>
      <c r="B42" s="3" t="s">
        <v>0</v>
      </c>
      <c r="C42" s="3" t="s">
        <v>0</v>
      </c>
      <c r="D42" s="3" t="s">
        <v>0</v>
      </c>
      <c r="E42" s="3" t="s">
        <v>0</v>
      </c>
      <c r="F42" s="3" t="s">
        <v>0</v>
      </c>
      <c r="G42" s="3" t="s">
        <v>0</v>
      </c>
      <c r="H42" s="3" t="s">
        <v>0</v>
      </c>
      <c r="I42" s="3" t="s">
        <v>0</v>
      </c>
      <c r="J42" s="3" t="s">
        <v>0</v>
      </c>
      <c r="K42" s="3" t="s">
        <v>0</v>
      </c>
      <c r="L42" s="3" t="s">
        <v>0</v>
      </c>
      <c r="M42" s="3" t="s">
        <v>0</v>
      </c>
      <c r="N42" s="3" t="s">
        <v>0</v>
      </c>
      <c r="O42" s="3" t="s">
        <v>0</v>
      </c>
      <c r="P42" s="3">
        <f>=IF(A42="","",ROUND(G42*15 + H42*15 + I42*15 + J42*10 + K42*10 + L42*5 + IF(M42&gt;=80,10,IF(M42&gt;=40,5,0)) + N42*10 + MIN(O42*5, 10),0))</f>
      </c>
      <c r="Q42" s="3">
        <f>=IF(A42="","",IF(P42&gt;=70,"A类 高意向",IF(P42&gt;=40,"B类 潜在",IF(P42&gt;0,"C类 低意向",""))))</f>
      </c>
      <c r="R42" s="3">
        <f>=IF(A42="","",IF(P42&gt;=70,"24h内回复 + 1对1人工跟（话术见A类）",IF(P42&gt;=40,"3天内跟进1次（话术见B类）","进培育池，每月群发1次内容")))</f>
      </c>
    </row>
    <row r="43" ht="22" customHeight="1" spans="1:18" x14ac:dyDescent="0.25">
      <c r="A43" s="3" t="s">
        <v>0</v>
      </c>
      <c r="B43" s="3" t="s">
        <v>0</v>
      </c>
      <c r="C43" s="3" t="s">
        <v>0</v>
      </c>
      <c r="D43" s="3" t="s">
        <v>0</v>
      </c>
      <c r="E43" s="3" t="s">
        <v>0</v>
      </c>
      <c r="F43" s="3" t="s">
        <v>0</v>
      </c>
      <c r="G43" s="3" t="s">
        <v>0</v>
      </c>
      <c r="H43" s="3" t="s">
        <v>0</v>
      </c>
      <c r="I43" s="3" t="s">
        <v>0</v>
      </c>
      <c r="J43" s="3" t="s">
        <v>0</v>
      </c>
      <c r="K43" s="3" t="s">
        <v>0</v>
      </c>
      <c r="L43" s="3" t="s">
        <v>0</v>
      </c>
      <c r="M43" s="3" t="s">
        <v>0</v>
      </c>
      <c r="N43" s="3" t="s">
        <v>0</v>
      </c>
      <c r="O43" s="3" t="s">
        <v>0</v>
      </c>
      <c r="P43" s="3">
        <f>=IF(A43="","",ROUND(G43*15 + H43*15 + I43*15 + J43*10 + K43*10 + L43*5 + IF(M43&gt;=80,10,IF(M43&gt;=40,5,0)) + N43*10 + MIN(O43*5, 10),0))</f>
      </c>
      <c r="Q43" s="3">
        <f>=IF(A43="","",IF(P43&gt;=70,"A类 高意向",IF(P43&gt;=40,"B类 潜在",IF(P43&gt;0,"C类 低意向",""))))</f>
      </c>
      <c r="R43" s="3">
        <f>=IF(A43="","",IF(P43&gt;=70,"24h内回复 + 1对1人工跟（话术见A类）",IF(P43&gt;=40,"3天内跟进1次（话术见B类）","进培育池，每月群发1次内容")))</f>
      </c>
    </row>
    <row r="44" ht="22" customHeight="1" spans="1:18" x14ac:dyDescent="0.25">
      <c r="A44" s="3" t="s">
        <v>0</v>
      </c>
      <c r="B44" s="3" t="s">
        <v>0</v>
      </c>
      <c r="C44" s="3" t="s">
        <v>0</v>
      </c>
      <c r="D44" s="3" t="s">
        <v>0</v>
      </c>
      <c r="E44" s="3" t="s">
        <v>0</v>
      </c>
      <c r="F44" s="3" t="s">
        <v>0</v>
      </c>
      <c r="G44" s="3" t="s">
        <v>0</v>
      </c>
      <c r="H44" s="3" t="s">
        <v>0</v>
      </c>
      <c r="I44" s="3" t="s">
        <v>0</v>
      </c>
      <c r="J44" s="3" t="s">
        <v>0</v>
      </c>
      <c r="K44" s="3" t="s">
        <v>0</v>
      </c>
      <c r="L44" s="3" t="s">
        <v>0</v>
      </c>
      <c r="M44" s="3" t="s">
        <v>0</v>
      </c>
      <c r="N44" s="3" t="s">
        <v>0</v>
      </c>
      <c r="O44" s="3" t="s">
        <v>0</v>
      </c>
      <c r="P44" s="3">
        <f>=IF(A44="","",ROUND(G44*15 + H44*15 + I44*15 + J44*10 + K44*10 + L44*5 + IF(M44&gt;=80,10,IF(M44&gt;=40,5,0)) + N44*10 + MIN(O44*5, 10),0))</f>
      </c>
      <c r="Q44" s="3">
        <f>=IF(A44="","",IF(P44&gt;=70,"A类 高意向",IF(P44&gt;=40,"B类 潜在",IF(P44&gt;0,"C类 低意向",""))))</f>
      </c>
      <c r="R44" s="3">
        <f>=IF(A44="","",IF(P44&gt;=70,"24h内回复 + 1对1人工跟（话术见A类）",IF(P44&gt;=40,"3天内跟进1次（话术见B类）","进培育池，每月群发1次内容")))</f>
      </c>
    </row>
    <row r="45" ht="22" customHeight="1" spans="1:18" x14ac:dyDescent="0.25">
      <c r="A45" s="3" t="s">
        <v>0</v>
      </c>
      <c r="B45" s="3" t="s">
        <v>0</v>
      </c>
      <c r="C45" s="3" t="s">
        <v>0</v>
      </c>
      <c r="D45" s="3" t="s">
        <v>0</v>
      </c>
      <c r="E45" s="3" t="s">
        <v>0</v>
      </c>
      <c r="F45" s="3" t="s">
        <v>0</v>
      </c>
      <c r="G45" s="3" t="s">
        <v>0</v>
      </c>
      <c r="H45" s="3" t="s">
        <v>0</v>
      </c>
      <c r="I45" s="3" t="s">
        <v>0</v>
      </c>
      <c r="J45" s="3" t="s">
        <v>0</v>
      </c>
      <c r="K45" s="3" t="s">
        <v>0</v>
      </c>
      <c r="L45" s="3" t="s">
        <v>0</v>
      </c>
      <c r="M45" s="3" t="s">
        <v>0</v>
      </c>
      <c r="N45" s="3" t="s">
        <v>0</v>
      </c>
      <c r="O45" s="3" t="s">
        <v>0</v>
      </c>
      <c r="P45" s="3">
        <f>=IF(A45="","",ROUND(G45*15 + H45*15 + I45*15 + J45*10 + K45*10 + L45*5 + IF(M45&gt;=80,10,IF(M45&gt;=40,5,0)) + N45*10 + MIN(O45*5, 10),0))</f>
      </c>
      <c r="Q45" s="3">
        <f>=IF(A45="","",IF(P45&gt;=70,"A类 高意向",IF(P45&gt;=40,"B类 潜在",IF(P45&gt;0,"C类 低意向",""))))</f>
      </c>
      <c r="R45" s="3">
        <f>=IF(A45="","",IF(P45&gt;=70,"24h内回复 + 1对1人工跟（话术见A类）",IF(P45&gt;=40,"3天内跟进1次（话术见B类）","进培育池，每月群发1次内容")))</f>
      </c>
    </row>
    <row r="46" ht="22" customHeight="1" spans="1:18" x14ac:dyDescent="0.25">
      <c r="A46" s="3" t="s">
        <v>0</v>
      </c>
      <c r="B46" s="3" t="s">
        <v>0</v>
      </c>
      <c r="C46" s="3" t="s">
        <v>0</v>
      </c>
      <c r="D46" s="3" t="s">
        <v>0</v>
      </c>
      <c r="E46" s="3" t="s">
        <v>0</v>
      </c>
      <c r="F46" s="3" t="s">
        <v>0</v>
      </c>
      <c r="G46" s="3" t="s">
        <v>0</v>
      </c>
      <c r="H46" s="3" t="s">
        <v>0</v>
      </c>
      <c r="I46" s="3" t="s">
        <v>0</v>
      </c>
      <c r="J46" s="3" t="s">
        <v>0</v>
      </c>
      <c r="K46" s="3" t="s">
        <v>0</v>
      </c>
      <c r="L46" s="3" t="s">
        <v>0</v>
      </c>
      <c r="M46" s="3" t="s">
        <v>0</v>
      </c>
      <c r="N46" s="3" t="s">
        <v>0</v>
      </c>
      <c r="O46" s="3" t="s">
        <v>0</v>
      </c>
      <c r="P46" s="3">
        <f>=IF(A46="","",ROUND(G46*15 + H46*15 + I46*15 + J46*10 + K46*10 + L46*5 + IF(M46&gt;=80,10,IF(M46&gt;=40,5,0)) + N46*10 + MIN(O46*5, 10),0))</f>
      </c>
      <c r="Q46" s="3">
        <f>=IF(A46="","",IF(P46&gt;=70,"A类 高意向",IF(P46&gt;=40,"B类 潜在",IF(P46&gt;0,"C类 低意向",""))))</f>
      </c>
      <c r="R46" s="3">
        <f>=IF(A46="","",IF(P46&gt;=70,"24h内回复 + 1对1人工跟（话术见A类）",IF(P46&gt;=40,"3天内跟进1次（话术见B类）","进培育池，每月群发1次内容")))</f>
      </c>
    </row>
    <row r="47" ht="22" customHeight="1" spans="1:18" x14ac:dyDescent="0.25">
      <c r="A47" s="3" t="s">
        <v>0</v>
      </c>
      <c r="B47" s="3" t="s">
        <v>0</v>
      </c>
      <c r="C47" s="3" t="s">
        <v>0</v>
      </c>
      <c r="D47" s="3" t="s">
        <v>0</v>
      </c>
      <c r="E47" s="3" t="s">
        <v>0</v>
      </c>
      <c r="F47" s="3" t="s">
        <v>0</v>
      </c>
      <c r="G47" s="3" t="s">
        <v>0</v>
      </c>
      <c r="H47" s="3" t="s">
        <v>0</v>
      </c>
      <c r="I47" s="3" t="s">
        <v>0</v>
      </c>
      <c r="J47" s="3" t="s">
        <v>0</v>
      </c>
      <c r="K47" s="3" t="s">
        <v>0</v>
      </c>
      <c r="L47" s="3" t="s">
        <v>0</v>
      </c>
      <c r="M47" s="3" t="s">
        <v>0</v>
      </c>
      <c r="N47" s="3" t="s">
        <v>0</v>
      </c>
      <c r="O47" s="3" t="s">
        <v>0</v>
      </c>
      <c r="P47" s="3">
        <f>=IF(A47="","",ROUND(G47*15 + H47*15 + I47*15 + J47*10 + K47*10 + L47*5 + IF(M47&gt;=80,10,IF(M47&gt;=40,5,0)) + N47*10 + MIN(O47*5, 10),0))</f>
      </c>
      <c r="Q47" s="3">
        <f>=IF(A47="","",IF(P47&gt;=70,"A类 高意向",IF(P47&gt;=40,"B类 潜在",IF(P47&gt;0,"C类 低意向",""))))</f>
      </c>
      <c r="R47" s="3">
        <f>=IF(A47="","",IF(P47&gt;=70,"24h内回复 + 1对1人工跟（话术见A类）",IF(P47&gt;=40,"3天内跟进1次（话术见B类）","进培育池，每月群发1次内容")))</f>
      </c>
    </row>
    <row r="48" ht="22" customHeight="1" spans="1:18" x14ac:dyDescent="0.25">
      <c r="A48" s="3" t="s">
        <v>0</v>
      </c>
      <c r="B48" s="3" t="s">
        <v>0</v>
      </c>
      <c r="C48" s="3" t="s">
        <v>0</v>
      </c>
      <c r="D48" s="3" t="s">
        <v>0</v>
      </c>
      <c r="E48" s="3" t="s">
        <v>0</v>
      </c>
      <c r="F48" s="3" t="s">
        <v>0</v>
      </c>
      <c r="G48" s="3" t="s">
        <v>0</v>
      </c>
      <c r="H48" s="3" t="s">
        <v>0</v>
      </c>
      <c r="I48" s="3" t="s">
        <v>0</v>
      </c>
      <c r="J48" s="3" t="s">
        <v>0</v>
      </c>
      <c r="K48" s="3" t="s">
        <v>0</v>
      </c>
      <c r="L48" s="3" t="s">
        <v>0</v>
      </c>
      <c r="M48" s="3" t="s">
        <v>0</v>
      </c>
      <c r="N48" s="3" t="s">
        <v>0</v>
      </c>
      <c r="O48" s="3" t="s">
        <v>0</v>
      </c>
      <c r="P48" s="3">
        <f>=IF(A48="","",ROUND(G48*15 + H48*15 + I48*15 + J48*10 + K48*10 + L48*5 + IF(M48&gt;=80,10,IF(M48&gt;=40,5,0)) + N48*10 + MIN(O48*5, 10),0))</f>
      </c>
      <c r="Q48" s="3">
        <f>=IF(A48="","",IF(P48&gt;=70,"A类 高意向",IF(P48&gt;=40,"B类 潜在",IF(P48&gt;0,"C类 低意向",""))))</f>
      </c>
      <c r="R48" s="3">
        <f>=IF(A48="","",IF(P48&gt;=70,"24h内回复 + 1对1人工跟（话术见A类）",IF(P48&gt;=40,"3天内跟进1次（话术见B类）","进培育池，每月群发1次内容")))</f>
      </c>
    </row>
    <row r="49" ht="22" customHeight="1" spans="1:18" x14ac:dyDescent="0.25">
      <c r="A49" s="3" t="s">
        <v>0</v>
      </c>
      <c r="B49" s="3" t="s">
        <v>0</v>
      </c>
      <c r="C49" s="3" t="s">
        <v>0</v>
      </c>
      <c r="D49" s="3" t="s">
        <v>0</v>
      </c>
      <c r="E49" s="3" t="s">
        <v>0</v>
      </c>
      <c r="F49" s="3" t="s">
        <v>0</v>
      </c>
      <c r="G49" s="3" t="s">
        <v>0</v>
      </c>
      <c r="H49" s="3" t="s">
        <v>0</v>
      </c>
      <c r="I49" s="3" t="s">
        <v>0</v>
      </c>
      <c r="J49" s="3" t="s">
        <v>0</v>
      </c>
      <c r="K49" s="3" t="s">
        <v>0</v>
      </c>
      <c r="L49" s="3" t="s">
        <v>0</v>
      </c>
      <c r="M49" s="3" t="s">
        <v>0</v>
      </c>
      <c r="N49" s="3" t="s">
        <v>0</v>
      </c>
      <c r="O49" s="3" t="s">
        <v>0</v>
      </c>
      <c r="P49" s="3">
        <f>=IF(A49="","",ROUND(G49*15 + H49*15 + I49*15 + J49*10 + K49*10 + L49*5 + IF(M49&gt;=80,10,IF(M49&gt;=40,5,0)) + N49*10 + MIN(O49*5, 10),0))</f>
      </c>
      <c r="Q49" s="3">
        <f>=IF(A49="","",IF(P49&gt;=70,"A类 高意向",IF(P49&gt;=40,"B类 潜在",IF(P49&gt;0,"C类 低意向",""))))</f>
      </c>
      <c r="R49" s="3">
        <f>=IF(A49="","",IF(P49&gt;=70,"24h内回复 + 1对1人工跟（话术见A类）",IF(P49&gt;=40,"3天内跟进1次（话术见B类）","进培育池，每月群发1次内容")))</f>
      </c>
    </row>
    <row r="50" ht="22" customHeight="1" spans="1:18" x14ac:dyDescent="0.25">
      <c r="A50" s="3" t="s">
        <v>0</v>
      </c>
      <c r="B50" s="3" t="s">
        <v>0</v>
      </c>
      <c r="C50" s="3" t="s">
        <v>0</v>
      </c>
      <c r="D50" s="3" t="s">
        <v>0</v>
      </c>
      <c r="E50" s="3" t="s">
        <v>0</v>
      </c>
      <c r="F50" s="3" t="s">
        <v>0</v>
      </c>
      <c r="G50" s="3" t="s">
        <v>0</v>
      </c>
      <c r="H50" s="3" t="s">
        <v>0</v>
      </c>
      <c r="I50" s="3" t="s">
        <v>0</v>
      </c>
      <c r="J50" s="3" t="s">
        <v>0</v>
      </c>
      <c r="K50" s="3" t="s">
        <v>0</v>
      </c>
      <c r="L50" s="3" t="s">
        <v>0</v>
      </c>
      <c r="M50" s="3" t="s">
        <v>0</v>
      </c>
      <c r="N50" s="3" t="s">
        <v>0</v>
      </c>
      <c r="O50" s="3" t="s">
        <v>0</v>
      </c>
      <c r="P50" s="3">
        <f>=IF(A50="","",ROUND(G50*15 + H50*15 + I50*15 + J50*10 + K50*10 + L50*5 + IF(M50&gt;=80,10,IF(M50&gt;=40,5,0)) + N50*10 + MIN(O50*5, 10),0))</f>
      </c>
      <c r="Q50" s="3">
        <f>=IF(A50="","",IF(P50&gt;=70,"A类 高意向",IF(P50&gt;=40,"B类 潜在",IF(P50&gt;0,"C类 低意向",""))))</f>
      </c>
      <c r="R50" s="3">
        <f>=IF(A50="","",IF(P50&gt;=70,"24h内回复 + 1对1人工跟（话术见A类）",IF(P50&gt;=40,"3天内跟进1次（话术见B类）","进培育池，每月群发1次内容")))</f>
      </c>
    </row>
    <row r="51" ht="22" customHeight="1" spans="1:18" x14ac:dyDescent="0.25">
      <c r="A51" s="3" t="s">
        <v>0</v>
      </c>
      <c r="B51" s="3" t="s">
        <v>0</v>
      </c>
      <c r="C51" s="3" t="s">
        <v>0</v>
      </c>
      <c r="D51" s="3" t="s">
        <v>0</v>
      </c>
      <c r="E51" s="3" t="s">
        <v>0</v>
      </c>
      <c r="F51" s="3" t="s">
        <v>0</v>
      </c>
      <c r="G51" s="3" t="s">
        <v>0</v>
      </c>
      <c r="H51" s="3" t="s">
        <v>0</v>
      </c>
      <c r="I51" s="3" t="s">
        <v>0</v>
      </c>
      <c r="J51" s="3" t="s">
        <v>0</v>
      </c>
      <c r="K51" s="3" t="s">
        <v>0</v>
      </c>
      <c r="L51" s="3" t="s">
        <v>0</v>
      </c>
      <c r="M51" s="3" t="s">
        <v>0</v>
      </c>
      <c r="N51" s="3" t="s">
        <v>0</v>
      </c>
      <c r="O51" s="3" t="s">
        <v>0</v>
      </c>
      <c r="P51" s="3">
        <f>=IF(A51="","",ROUND(G51*15 + H51*15 + I51*15 + J51*10 + K51*10 + L51*5 + IF(M51&gt;=80,10,IF(M51&gt;=40,5,0)) + N51*10 + MIN(O51*5, 10),0))</f>
      </c>
      <c r="Q51" s="3">
        <f>=IF(A51="","",IF(P51&gt;=70,"A类 高意向",IF(P51&gt;=40,"B类 潜在",IF(P51&gt;0,"C类 低意向",""))))</f>
      </c>
      <c r="R51" s="3">
        <f>=IF(A51="","",IF(P51&gt;=70,"24h内回复 + 1对1人工跟（话术见A类）",IF(P51&gt;=40,"3天内跟进1次（话术见B类）","进培育池，每月群发1次内容")))</f>
      </c>
    </row>
    <row r="52" ht="22" customHeight="1" spans="1:18" x14ac:dyDescent="0.25">
      <c r="A52" s="3" t="s">
        <v>0</v>
      </c>
      <c r="B52" s="3" t="s">
        <v>0</v>
      </c>
      <c r="C52" s="3" t="s">
        <v>0</v>
      </c>
      <c r="D52" s="3" t="s">
        <v>0</v>
      </c>
      <c r="E52" s="3" t="s">
        <v>0</v>
      </c>
      <c r="F52" s="3" t="s">
        <v>0</v>
      </c>
      <c r="G52" s="3" t="s">
        <v>0</v>
      </c>
      <c r="H52" s="3" t="s">
        <v>0</v>
      </c>
      <c r="I52" s="3" t="s">
        <v>0</v>
      </c>
      <c r="J52" s="3" t="s">
        <v>0</v>
      </c>
      <c r="K52" s="3" t="s">
        <v>0</v>
      </c>
      <c r="L52" s="3" t="s">
        <v>0</v>
      </c>
      <c r="M52" s="3" t="s">
        <v>0</v>
      </c>
      <c r="N52" s="3" t="s">
        <v>0</v>
      </c>
      <c r="O52" s="3" t="s">
        <v>0</v>
      </c>
      <c r="P52" s="3">
        <f>=IF(A52="","",ROUND(G52*15 + H52*15 + I52*15 + J52*10 + K52*10 + L52*5 + IF(M52&gt;=80,10,IF(M52&gt;=40,5,0)) + N52*10 + MIN(O52*5, 10),0))</f>
      </c>
      <c r="Q52" s="3">
        <f>=IF(A52="","",IF(P52&gt;=70,"A类 高意向",IF(P52&gt;=40,"B类 潜在",IF(P52&gt;0,"C类 低意向",""))))</f>
      </c>
      <c r="R52" s="3">
        <f>=IF(A52="","",IF(P52&gt;=70,"24h内回复 + 1对1人工跟（话术见A类）",IF(P52&gt;=40,"3天内跟进1次（话术见B类）","进培育池，每月群发1次内容")))</f>
      </c>
    </row>
  </sheetData>
  <mergeCells count="3">
    <mergeCell ref="C1:F1"/>
    <mergeCell ref="G1:O1"/>
    <mergeCell ref="P1:R1"/>
  </mergeCells>
  <conditionalFormatting sqref="Q3:Q52">
    <cfRule type="containsText" dxfId="0" priority="1">
      <formula>NOT(ISERROR(SEARCH("A类",Q3)))</formula>
    </cfRule>
    <cfRule type="containsText" dxfId="1" priority="2">
      <formula>NOT(ISERROR(SEARCH("B类",Q3)))</formula>
    </cfRule>
    <cfRule type="containsText" dxfId="2" priority="3">
      <formula>NOT(ISERROR(SEARCH("C类",Q3)))</formula>
    </cfRule>
  </conditionalFormatting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"/>
  <sheetFormatPr defaultRowHeight="15" outlineLevelRow="0" outlineLevelCol="0" x14ac:dyDescent="55"/>
  <cols>
    <col min="1" max="1" width="22" customWidth="1"/>
    <col min="2" max="2" width="60" customWidth="1"/>
  </cols>
  <sheetData>
    <row r="1" spans="1:2" x14ac:dyDescent="0.25">
      <c r="A1" s="4" t="s">
        <v>49</v>
      </c>
      <c r="B1" s="4" t="s">
        <v>0</v>
      </c>
    </row>
    <row r="2" spans="1:2" x14ac:dyDescent="0.25">
      <c r="A2" s="5" t="s">
        <v>50</v>
      </c>
      <c r="B2" s="5" t="s">
        <v>51</v>
      </c>
    </row>
    <row r="3" spans="1:2" x14ac:dyDescent="0.25">
      <c r="A3" s="6" t="s">
        <v>52</v>
      </c>
      <c r="B3" s="6" t="s">
        <v>53</v>
      </c>
    </row>
    <row r="4" spans="1:2" x14ac:dyDescent="0.25">
      <c r="A4" s="6" t="s">
        <v>54</v>
      </c>
      <c r="B4" s="6" t="s">
        <v>55</v>
      </c>
    </row>
    <row r="5" spans="1:2" x14ac:dyDescent="0.25">
      <c r="A5" s="6" t="s">
        <v>56</v>
      </c>
      <c r="B5" s="6" t="s">
        <v>57</v>
      </c>
    </row>
    <row r="6" spans="1:2" x14ac:dyDescent="0.25">
      <c r="A6" s="6" t="s">
        <v>58</v>
      </c>
      <c r="B6" s="6" t="s">
        <v>59</v>
      </c>
    </row>
    <row r="7" spans="1:2" x14ac:dyDescent="0.25">
      <c r="A7" s="6" t="s">
        <v>60</v>
      </c>
      <c r="B7" s="6" t="s">
        <v>61</v>
      </c>
    </row>
    <row r="8" spans="1:2" x14ac:dyDescent="0.25">
      <c r="A8" s="6" t="s">
        <v>62</v>
      </c>
      <c r="B8" s="6" t="s">
        <v>63</v>
      </c>
    </row>
    <row r="9" spans="1:2" x14ac:dyDescent="0.25">
      <c r="A9" s="6" t="s">
        <v>64</v>
      </c>
      <c r="B9" s="6" t="s">
        <v>65</v>
      </c>
    </row>
    <row r="10" spans="1:2" x14ac:dyDescent="0.25">
      <c r="A10" s="6" t="s">
        <v>66</v>
      </c>
      <c r="B10" s="6" t="s">
        <v>67</v>
      </c>
    </row>
    <row r="11" spans="1:2" x14ac:dyDescent="0.25">
      <c r="A11" s="6" t="s">
        <v>68</v>
      </c>
      <c r="B11" s="6" t="s">
        <v>69</v>
      </c>
    </row>
    <row r="12" spans="1:2" x14ac:dyDescent="0.25">
      <c r="A12" s="6" t="s">
        <v>0</v>
      </c>
      <c r="B12" s="6" t="s">
        <v>0</v>
      </c>
    </row>
    <row r="13" spans="1:2" x14ac:dyDescent="0.25">
      <c r="A13" s="4" t="s">
        <v>70</v>
      </c>
      <c r="B13" s="4" t="s">
        <v>0</v>
      </c>
    </row>
    <row r="14" spans="1:2" x14ac:dyDescent="0.25">
      <c r="A14" s="6" t="s">
        <v>71</v>
      </c>
      <c r="B14" s="6" t="s">
        <v>72</v>
      </c>
    </row>
    <row r="15" spans="1:2" x14ac:dyDescent="0.25">
      <c r="A15" s="6" t="s">
        <v>73</v>
      </c>
      <c r="B15" s="6" t="s">
        <v>74</v>
      </c>
    </row>
    <row r="16" spans="1:2" x14ac:dyDescent="0.25">
      <c r="A16" s="6" t="s">
        <v>75</v>
      </c>
      <c r="B16" s="6" t="s">
        <v>76</v>
      </c>
    </row>
    <row r="17" spans="1:2" x14ac:dyDescent="0.25">
      <c r="A17" s="6" t="s">
        <v>0</v>
      </c>
      <c r="B17" s="6" t="s">
        <v>0</v>
      </c>
    </row>
    <row r="18" spans="1:2" x14ac:dyDescent="0.25">
      <c r="A18" s="4" t="s">
        <v>77</v>
      </c>
      <c r="B18" s="4" t="s">
        <v>0</v>
      </c>
    </row>
    <row r="19" spans="1:2" x14ac:dyDescent="0.25">
      <c r="A19" s="6" t="s">
        <v>78</v>
      </c>
      <c r="B19" s="6" t="s">
        <v>79</v>
      </c>
    </row>
    <row r="20" spans="1:2" x14ac:dyDescent="0.25">
      <c r="A20" s="6" t="s">
        <v>80</v>
      </c>
      <c r="B20" s="6" t="s">
        <v>81</v>
      </c>
    </row>
    <row r="21" spans="1:2" x14ac:dyDescent="0.25">
      <c r="A21" s="6" t="s">
        <v>82</v>
      </c>
      <c r="B21" s="6" t="s">
        <v>83</v>
      </c>
    </row>
    <row r="22" spans="1:2" x14ac:dyDescent="0.25">
      <c r="A22" s="6" t="s">
        <v>84</v>
      </c>
      <c r="B22" s="6" t="s">
        <v>85</v>
      </c>
    </row>
    <row r="23" spans="1:2" x14ac:dyDescent="0.25">
      <c r="A23" s="6" t="s">
        <v>0</v>
      </c>
      <c r="B23" s="6" t="s">
        <v>0</v>
      </c>
    </row>
    <row r="24" spans="1:2" x14ac:dyDescent="0.25">
      <c r="A24" s="4" t="s">
        <v>86</v>
      </c>
      <c r="B24" s="4" t="s">
        <v>0</v>
      </c>
    </row>
    <row r="25" spans="1:2" x14ac:dyDescent="0.25">
      <c r="A25" s="6" t="s">
        <v>87</v>
      </c>
      <c r="B25" s="6" t="s">
        <v>88</v>
      </c>
    </row>
    <row r="26" spans="1:2" x14ac:dyDescent="0.25">
      <c r="A26" s="6" t="s">
        <v>89</v>
      </c>
      <c r="B26" s="6" t="s">
        <v>90</v>
      </c>
    </row>
    <row r="27" spans="1:2" x14ac:dyDescent="0.25">
      <c r="A27" s="6" t="s">
        <v>91</v>
      </c>
      <c r="B27" s="6" t="s">
        <v>92</v>
      </c>
    </row>
    <row r="28" spans="1:2" x14ac:dyDescent="0.25">
      <c r="A28" s="6" t="s">
        <v>93</v>
      </c>
      <c r="B28" s="6" t="s">
        <v>94</v>
      </c>
    </row>
    <row r="29" spans="1:2" x14ac:dyDescent="0.25">
      <c r="A29" s="6" t="s">
        <v>95</v>
      </c>
      <c r="B29" s="6" t="s">
        <v>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FormatPr defaultRowHeight="15" outlineLevelRow="0" outlineLevelCol="0" x14ac:dyDescent="55"/>
  <cols>
    <col min="1" max="2" width="12" customWidth="1"/>
    <col min="3" max="3" width="22" customWidth="1"/>
    <col min="4" max="5" width="14" customWidth="1"/>
    <col min="6" max="6" width="16" customWidth="1"/>
    <col min="7" max="7" width="8" customWidth="1"/>
    <col min="8" max="8" width="12" customWidth="1"/>
  </cols>
  <sheetData>
    <row r="1" spans="1:8" x14ac:dyDescent="0.25">
      <c r="A1" s="7" t="s">
        <v>4</v>
      </c>
      <c r="B1" s="7" t="s">
        <v>97</v>
      </c>
      <c r="C1" s="7" t="s">
        <v>98</v>
      </c>
      <c r="D1" s="7" t="s">
        <v>7</v>
      </c>
      <c r="E1" s="7" t="s">
        <v>99</v>
      </c>
      <c r="F1" s="7" t="s">
        <v>9</v>
      </c>
      <c r="G1" s="7" t="s">
        <v>100</v>
      </c>
      <c r="H1" s="7" t="s">
        <v>101</v>
      </c>
    </row>
    <row r="2" spans="1:2" x14ac:dyDescent="0.25">
      <c r="A2" t="s">
        <v>0</v>
      </c>
      <c r="B2" t="s">
        <v>0</v>
      </c>
    </row>
    <row r="3" spans="1:2" x14ac:dyDescent="0.25">
      <c r="A3" s="8" t="s">
        <v>86</v>
      </c>
      <c r="B3" t="s">
        <v>0</v>
      </c>
    </row>
    <row r="4" spans="1:2" x14ac:dyDescent="0.25">
      <c r="A4" t="s">
        <v>102</v>
      </c>
      <c r="B4" t="s">
        <v>103</v>
      </c>
    </row>
    <row r="5" spans="1:2" x14ac:dyDescent="0.25">
      <c r="A5" t="s">
        <v>104</v>
      </c>
      <c r="B5" t="s">
        <v>105</v>
      </c>
    </row>
    <row r="6" spans="1:2" x14ac:dyDescent="0.25">
      <c r="A6" t="s">
        <v>106</v>
      </c>
      <c r="B6" t="s">
        <v>107</v>
      </c>
    </row>
    <row r="7" spans="1:2" x14ac:dyDescent="0.25">
      <c r="A7" t="s">
        <v>0</v>
      </c>
      <c r="B7" t="s">
        <v>0</v>
      </c>
    </row>
    <row r="8" spans="1:2" x14ac:dyDescent="0.25">
      <c r="A8" s="8" t="s">
        <v>108</v>
      </c>
      <c r="B8" t="s">
        <v>0</v>
      </c>
    </row>
    <row r="9" spans="1:2" x14ac:dyDescent="0.25">
      <c r="A9" t="s">
        <v>109</v>
      </c>
      <c r="B9" t="s">
        <v>110</v>
      </c>
    </row>
    <row r="10" spans="1:2" x14ac:dyDescent="0.25">
      <c r="A10" t="s">
        <v>111</v>
      </c>
      <c r="B10" t="s">
        <v>112</v>
      </c>
    </row>
    <row r="11" spans="1:2" x14ac:dyDescent="0.25">
      <c r="A11" t="s">
        <v>113</v>
      </c>
      <c r="B11" t="s">
        <v>114</v>
      </c>
    </row>
    <row r="12" spans="1:2" x14ac:dyDescent="0.25">
      <c r="A12" t="s">
        <v>115</v>
      </c>
      <c r="B12" t="s">
        <v>116</v>
      </c>
    </row>
    <row r="13" spans="1:2" x14ac:dyDescent="0.25">
      <c r="A13" t="s">
        <v>117</v>
      </c>
      <c r="B13" t="s">
        <v>118</v>
      </c>
    </row>
    <row r="14" spans="1:2" x14ac:dyDescent="0.25">
      <c r="A14" t="s">
        <v>0</v>
      </c>
      <c r="B14" t="s">
        <v>0</v>
      </c>
    </row>
    <row r="15" spans="1:2" x14ac:dyDescent="0.25">
      <c r="A15" s="8" t="s">
        <v>119</v>
      </c>
      <c r="B15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RFQ分级表</vt:lpstr>
      <vt:lpstr>分级标准与评分规则</vt:lpstr>
      <vt:lpstr>A类客户清单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Wharton Ceramics 运营</dc:creator>
  <dc:title/>
  <dc:subject/>
  <dc:description/>
  <cp:keywords/>
  <cp:category/>
  <cp:lastModifiedBy>Unknown</cp:lastModifiedBy>
  <dcterms:created xsi:type="dcterms:W3CDTF">2026-07-05T09:45:14Z</dcterms:created>
  <dcterms:modified xsi:type="dcterms:W3CDTF">2026-07-05T09:45:14Z</dcterms:modified>
</cp:coreProperties>
</file>